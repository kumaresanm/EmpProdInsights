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fa26c11918ea77/Desktop/"/>
    </mc:Choice>
  </mc:AlternateContent>
  <xr:revisionPtr revIDLastSave="0" documentId="8_{F7E48FDF-B1CD-4A6D-867F-93424C6F5FC8}" xr6:coauthVersionLast="47" xr6:coauthVersionMax="47" xr10:uidLastSave="{00000000-0000-0000-0000-000000000000}"/>
  <bookViews>
    <workbookView xWindow="-108" yWindow="-108" windowWidth="23256" windowHeight="12456" xr2:uid="{8F4B3949-08F9-4BF4-88AE-34D9366AF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6" i="1" l="1"/>
  <c r="J76" i="1"/>
  <c r="K76" i="1" s="1"/>
  <c r="N76" i="1" s="1"/>
  <c r="O76" i="1" s="1"/>
  <c r="Q76" i="1" s="1"/>
  <c r="P75" i="1"/>
  <c r="J75" i="1"/>
  <c r="K75" i="1" s="1"/>
  <c r="N75" i="1" s="1"/>
  <c r="O75" i="1" s="1"/>
  <c r="Q75" i="1" s="1"/>
  <c r="P74" i="1"/>
  <c r="J74" i="1"/>
  <c r="K74" i="1" s="1"/>
  <c r="N74" i="1" s="1"/>
  <c r="O74" i="1" s="1"/>
  <c r="Q74" i="1" s="1"/>
  <c r="P73" i="1"/>
  <c r="J73" i="1"/>
  <c r="K73" i="1" s="1"/>
  <c r="N73" i="1" s="1"/>
  <c r="O73" i="1" s="1"/>
  <c r="Q73" i="1" s="1"/>
  <c r="P72" i="1"/>
  <c r="J72" i="1"/>
  <c r="K72" i="1" s="1"/>
  <c r="N72" i="1" s="1"/>
  <c r="O72" i="1" s="1"/>
  <c r="Q72" i="1" s="1"/>
  <c r="P71" i="1"/>
  <c r="N71" i="1"/>
  <c r="O71" i="1" s="1"/>
  <c r="Q71" i="1" s="1"/>
  <c r="K71" i="1"/>
  <c r="J71" i="1"/>
  <c r="P70" i="1"/>
  <c r="J70" i="1"/>
  <c r="K70" i="1" s="1"/>
  <c r="N70" i="1" s="1"/>
  <c r="O70" i="1" s="1"/>
  <c r="Q70" i="1" s="1"/>
  <c r="P69" i="1"/>
  <c r="J69" i="1"/>
  <c r="K69" i="1" s="1"/>
  <c r="N69" i="1" s="1"/>
  <c r="O69" i="1" s="1"/>
  <c r="Q69" i="1" s="1"/>
  <c r="P68" i="1"/>
  <c r="J68" i="1"/>
  <c r="K68" i="1" s="1"/>
  <c r="N68" i="1" s="1"/>
  <c r="O68" i="1" s="1"/>
  <c r="Q68" i="1" s="1"/>
  <c r="P67" i="1"/>
  <c r="J67" i="1"/>
  <c r="K67" i="1" s="1"/>
  <c r="N67" i="1" s="1"/>
  <c r="O67" i="1" s="1"/>
  <c r="Q67" i="1" s="1"/>
  <c r="P66" i="1"/>
  <c r="J66" i="1"/>
  <c r="K66" i="1" s="1"/>
  <c r="N66" i="1" s="1"/>
  <c r="O66" i="1" s="1"/>
  <c r="Q66" i="1" s="1"/>
  <c r="P65" i="1"/>
  <c r="J65" i="1"/>
  <c r="K65" i="1" s="1"/>
  <c r="N65" i="1" s="1"/>
  <c r="O65" i="1" s="1"/>
  <c r="Q65" i="1" s="1"/>
  <c r="P64" i="1"/>
  <c r="N64" i="1"/>
  <c r="O64" i="1" s="1"/>
  <c r="Q64" i="1" s="1"/>
  <c r="J64" i="1"/>
  <c r="K64" i="1" s="1"/>
  <c r="P63" i="1"/>
  <c r="K63" i="1"/>
  <c r="N63" i="1" s="1"/>
  <c r="O63" i="1" s="1"/>
  <c r="Q63" i="1" s="1"/>
  <c r="J63" i="1"/>
  <c r="P62" i="1"/>
  <c r="J62" i="1"/>
  <c r="K62" i="1" s="1"/>
  <c r="N62" i="1" s="1"/>
  <c r="O62" i="1" s="1"/>
  <c r="Q62" i="1" s="1"/>
  <c r="P61" i="1"/>
  <c r="J61" i="1"/>
  <c r="K61" i="1" s="1"/>
  <c r="N61" i="1" s="1"/>
  <c r="O61" i="1" s="1"/>
  <c r="Q61" i="1" s="1"/>
  <c r="P60" i="1"/>
  <c r="J60" i="1"/>
  <c r="K60" i="1" s="1"/>
  <c r="N60" i="1" s="1"/>
  <c r="O60" i="1" s="1"/>
  <c r="Q60" i="1" s="1"/>
  <c r="P59" i="1"/>
  <c r="J59" i="1"/>
  <c r="K59" i="1" s="1"/>
  <c r="N59" i="1" s="1"/>
  <c r="O59" i="1" s="1"/>
  <c r="Q59" i="1" s="1"/>
  <c r="P58" i="1"/>
  <c r="J58" i="1"/>
  <c r="K58" i="1" s="1"/>
  <c r="N58" i="1" s="1"/>
  <c r="O58" i="1" s="1"/>
  <c r="Q58" i="1" s="1"/>
  <c r="P57" i="1"/>
  <c r="J57" i="1"/>
  <c r="K57" i="1" s="1"/>
  <c r="N57" i="1" s="1"/>
  <c r="O57" i="1" s="1"/>
  <c r="Q57" i="1" s="1"/>
  <c r="P56" i="1"/>
  <c r="J56" i="1"/>
  <c r="K56" i="1" s="1"/>
  <c r="N56" i="1" s="1"/>
  <c r="O56" i="1" s="1"/>
  <c r="Q56" i="1" s="1"/>
  <c r="P55" i="1"/>
  <c r="N55" i="1"/>
  <c r="O55" i="1" s="1"/>
  <c r="Q55" i="1" s="1"/>
  <c r="K55" i="1"/>
  <c r="J55" i="1"/>
  <c r="P54" i="1"/>
  <c r="J54" i="1"/>
  <c r="K54" i="1" s="1"/>
  <c r="N54" i="1" s="1"/>
  <c r="O54" i="1" s="1"/>
  <c r="Q54" i="1" s="1"/>
  <c r="P53" i="1"/>
  <c r="J53" i="1"/>
  <c r="K53" i="1" s="1"/>
  <c r="N53" i="1" s="1"/>
  <c r="O53" i="1" s="1"/>
  <c r="Q53" i="1" s="1"/>
  <c r="P52" i="1"/>
  <c r="J52" i="1"/>
  <c r="K52" i="1" s="1"/>
  <c r="N52" i="1" s="1"/>
  <c r="O52" i="1" s="1"/>
  <c r="Q52" i="1" s="1"/>
  <c r="P51" i="1"/>
  <c r="J51" i="1"/>
  <c r="K51" i="1" s="1"/>
  <c r="N51" i="1" s="1"/>
  <c r="O51" i="1" s="1"/>
  <c r="Q51" i="1" s="1"/>
  <c r="P50" i="1"/>
  <c r="K50" i="1"/>
  <c r="N50" i="1" s="1"/>
  <c r="E50" i="1"/>
  <c r="O50" i="1" s="1"/>
  <c r="Q50" i="1" s="1"/>
  <c r="P49" i="1"/>
  <c r="O49" i="1"/>
  <c r="Q49" i="1" s="1"/>
  <c r="N49" i="1"/>
  <c r="J49" i="1"/>
  <c r="E49" i="1"/>
  <c r="P48" i="1"/>
  <c r="J48" i="1"/>
  <c r="K48" i="1" s="1"/>
  <c r="N48" i="1" s="1"/>
  <c r="O48" i="1" s="1"/>
  <c r="Q48" i="1" s="1"/>
  <c r="E48" i="1"/>
  <c r="P47" i="1"/>
  <c r="N47" i="1"/>
  <c r="O47" i="1" s="1"/>
  <c r="Q47" i="1" s="1"/>
  <c r="J47" i="1"/>
  <c r="E47" i="1"/>
  <c r="P46" i="1"/>
  <c r="K46" i="1"/>
  <c r="N46" i="1" s="1"/>
  <c r="O46" i="1" s="1"/>
  <c r="Q46" i="1" s="1"/>
  <c r="J46" i="1"/>
  <c r="P45" i="1"/>
  <c r="J45" i="1"/>
  <c r="K45" i="1" s="1"/>
  <c r="N45" i="1" s="1"/>
  <c r="O45" i="1" s="1"/>
  <c r="Q45" i="1" s="1"/>
  <c r="P44" i="1"/>
  <c r="K44" i="1"/>
  <c r="N44" i="1" s="1"/>
  <c r="O44" i="1" s="1"/>
  <c r="Q44" i="1" s="1"/>
  <c r="J44" i="1"/>
  <c r="E44" i="1"/>
  <c r="P43" i="1"/>
  <c r="K43" i="1"/>
  <c r="N43" i="1" s="1"/>
  <c r="O43" i="1" s="1"/>
  <c r="Q43" i="1" s="1"/>
  <c r="F43" i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E43" i="1"/>
  <c r="P41" i="1"/>
  <c r="N41" i="1"/>
  <c r="J41" i="1"/>
  <c r="E41" i="1"/>
  <c r="O41" i="1" s="1"/>
  <c r="Q41" i="1" s="1"/>
  <c r="P40" i="1"/>
  <c r="J40" i="1"/>
  <c r="K40" i="1" s="1"/>
  <c r="N40" i="1" s="1"/>
  <c r="E40" i="1"/>
  <c r="P39" i="1"/>
  <c r="K39" i="1"/>
  <c r="N39" i="1" s="1"/>
  <c r="E39" i="1"/>
  <c r="P38" i="1"/>
  <c r="J38" i="1"/>
  <c r="K38" i="1" s="1"/>
  <c r="N38" i="1" s="1"/>
  <c r="E38" i="1"/>
  <c r="O38" i="1" s="1"/>
  <c r="Q38" i="1" s="1"/>
  <c r="P37" i="1"/>
  <c r="Q37" i="1" s="1"/>
  <c r="N37" i="1"/>
  <c r="J37" i="1"/>
  <c r="E37" i="1"/>
  <c r="O37" i="1" s="1"/>
  <c r="P36" i="1"/>
  <c r="O36" i="1"/>
  <c r="Q36" i="1" s="1"/>
  <c r="N36" i="1"/>
  <c r="E36" i="1"/>
  <c r="P35" i="1"/>
  <c r="K35" i="1"/>
  <c r="N35" i="1" s="1"/>
  <c r="O35" i="1" s="1"/>
  <c r="Q35" i="1" s="1"/>
  <c r="J35" i="1"/>
  <c r="E35" i="1"/>
  <c r="P34" i="1"/>
  <c r="N34" i="1"/>
  <c r="O34" i="1" s="1"/>
  <c r="Q34" i="1" s="1"/>
  <c r="E34" i="1"/>
  <c r="P33" i="1"/>
  <c r="J33" i="1"/>
  <c r="K33" i="1" s="1"/>
  <c r="N33" i="1" s="1"/>
  <c r="O33" i="1" s="1"/>
  <c r="Q33" i="1" s="1"/>
  <c r="E33" i="1"/>
  <c r="P32" i="1"/>
  <c r="J32" i="1"/>
  <c r="K32" i="1" s="1"/>
  <c r="N32" i="1" s="1"/>
  <c r="O32" i="1" s="1"/>
  <c r="Q32" i="1" s="1"/>
  <c r="E32" i="1"/>
  <c r="P31" i="1"/>
  <c r="K31" i="1"/>
  <c r="N31" i="1" s="1"/>
  <c r="O31" i="1" s="1"/>
  <c r="Q31" i="1" s="1"/>
  <c r="E31" i="1"/>
  <c r="P30" i="1"/>
  <c r="J30" i="1"/>
  <c r="K30" i="1" s="1"/>
  <c r="N30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E30" i="1"/>
  <c r="P29" i="1"/>
  <c r="N29" i="1"/>
  <c r="J29" i="1"/>
  <c r="F29" i="1"/>
  <c r="E29" i="1"/>
  <c r="O29" i="1" s="1"/>
  <c r="Q29" i="1" s="1"/>
  <c r="P27" i="1"/>
  <c r="J27" i="1"/>
  <c r="K27" i="1" s="1"/>
  <c r="N27" i="1" s="1"/>
  <c r="F27" i="1"/>
  <c r="E27" i="1"/>
  <c r="P26" i="1"/>
  <c r="K26" i="1"/>
  <c r="N26" i="1" s="1"/>
  <c r="F26" i="1"/>
  <c r="E26" i="1"/>
  <c r="P24" i="1"/>
  <c r="O24" i="1"/>
  <c r="Q24" i="1" s="1"/>
  <c r="N24" i="1"/>
  <c r="J24" i="1"/>
  <c r="F24" i="1"/>
  <c r="E24" i="1"/>
  <c r="P22" i="1"/>
  <c r="J22" i="1"/>
  <c r="K22" i="1" s="1"/>
  <c r="N22" i="1" s="1"/>
  <c r="F22" i="1"/>
  <c r="E22" i="1"/>
  <c r="O22" i="1" s="1"/>
  <c r="Q22" i="1" s="1"/>
  <c r="P21" i="1"/>
  <c r="J21" i="1"/>
  <c r="K21" i="1" s="1"/>
  <c r="N21" i="1" s="1"/>
  <c r="F21" i="1"/>
  <c r="E21" i="1"/>
  <c r="P20" i="1"/>
  <c r="J20" i="1"/>
  <c r="K20" i="1" s="1"/>
  <c r="N20" i="1" s="1"/>
  <c r="F20" i="1"/>
  <c r="E20" i="1"/>
  <c r="O20" i="1" s="1"/>
  <c r="Q20" i="1" s="1"/>
  <c r="P19" i="1"/>
  <c r="N19" i="1"/>
  <c r="J19" i="1"/>
  <c r="F19" i="1"/>
  <c r="E19" i="1"/>
  <c r="O19" i="1" s="1"/>
  <c r="Q19" i="1" s="1"/>
  <c r="P17" i="1"/>
  <c r="O17" i="1"/>
  <c r="Q17" i="1" s="1"/>
  <c r="N17" i="1"/>
  <c r="J17" i="1"/>
  <c r="F17" i="1"/>
  <c r="E17" i="1"/>
  <c r="P15" i="1"/>
  <c r="N15" i="1"/>
  <c r="O15" i="1" s="1"/>
  <c r="Q15" i="1" s="1"/>
  <c r="F15" i="1"/>
  <c r="E15" i="1"/>
  <c r="P13" i="1"/>
  <c r="N13" i="1"/>
  <c r="J13" i="1"/>
  <c r="F13" i="1"/>
  <c r="E13" i="1"/>
  <c r="O13" i="1" s="1"/>
  <c r="Q13" i="1" s="1"/>
  <c r="P11" i="1"/>
  <c r="N11" i="1"/>
  <c r="J11" i="1"/>
  <c r="F11" i="1"/>
  <c r="E11" i="1"/>
  <c r="O11" i="1" s="1"/>
  <c r="Q11" i="1" s="1"/>
  <c r="P9" i="1"/>
  <c r="Q9" i="1" s="1"/>
  <c r="N9" i="1"/>
  <c r="F9" i="1"/>
  <c r="E9" i="1"/>
  <c r="O9" i="1" s="1"/>
  <c r="P7" i="1"/>
  <c r="N7" i="1"/>
  <c r="O7" i="1" s="1"/>
  <c r="Q7" i="1" s="1"/>
  <c r="J7" i="1"/>
  <c r="F7" i="1"/>
  <c r="E7" i="1"/>
  <c r="P5" i="1"/>
  <c r="K5" i="1"/>
  <c r="N5" i="1" s="1"/>
  <c r="O5" i="1" s="1"/>
  <c r="Q5" i="1" s="1"/>
  <c r="J5" i="1"/>
  <c r="F5" i="1"/>
  <c r="E5" i="1"/>
  <c r="P3" i="1"/>
  <c r="N3" i="1"/>
  <c r="O3" i="1" s="1"/>
  <c r="Q3" i="1" s="1"/>
  <c r="F3" i="1"/>
  <c r="E3" i="1"/>
  <c r="P2" i="1"/>
  <c r="N2" i="1"/>
  <c r="J2" i="1"/>
  <c r="F2" i="1"/>
  <c r="E2" i="1"/>
  <c r="O2" i="1" s="1"/>
  <c r="Q2" i="1" s="1"/>
  <c r="O21" i="1" l="1"/>
  <c r="Q21" i="1" s="1"/>
  <c r="O27" i="1"/>
  <c r="Q27" i="1" s="1"/>
  <c r="O40" i="1"/>
  <c r="Q40" i="1" s="1"/>
  <c r="O26" i="1"/>
  <c r="Q26" i="1" s="1"/>
  <c r="O30" i="1"/>
  <c r="Q30" i="1" s="1"/>
  <c r="O39" i="1"/>
  <c r="Q39" i="1" s="1"/>
</calcChain>
</file>

<file path=xl/sharedStrings.xml><?xml version="1.0" encoding="utf-8"?>
<sst xmlns="http://schemas.openxmlformats.org/spreadsheetml/2006/main" count="124" uniqueCount="50">
  <si>
    <t>Date</t>
  </si>
  <si>
    <t>Name</t>
  </si>
  <si>
    <t>Shift</t>
  </si>
  <si>
    <t>Machine</t>
  </si>
  <si>
    <t>Prg. No.</t>
  </si>
  <si>
    <t>Cycle time Sec</t>
  </si>
  <si>
    <t>PDN HR</t>
  </si>
  <si>
    <t>Actual PDN</t>
  </si>
  <si>
    <t>PDN Req</t>
  </si>
  <si>
    <t>Short</t>
  </si>
  <si>
    <t>Total PDN</t>
  </si>
  <si>
    <t>Daily PDN</t>
  </si>
  <si>
    <t>From</t>
  </si>
  <si>
    <t>To</t>
  </si>
  <si>
    <t>Total</t>
  </si>
  <si>
    <t>Hrs</t>
  </si>
  <si>
    <t>PDN Actual Qty</t>
  </si>
  <si>
    <t>Reason</t>
  </si>
  <si>
    <t>511884-2nd</t>
  </si>
  <si>
    <t>Rambabu</t>
  </si>
  <si>
    <t>1st</t>
  </si>
  <si>
    <t>Aarif</t>
  </si>
  <si>
    <t>2nd</t>
  </si>
  <si>
    <t>503705-2nd</t>
  </si>
  <si>
    <t>114599A</t>
  </si>
  <si>
    <t>40 min machine seting</t>
  </si>
  <si>
    <t>114630-2nd</t>
  </si>
  <si>
    <t>30 min powercut</t>
  </si>
  <si>
    <t>114599A-2nd</t>
  </si>
  <si>
    <t>109363-2nd</t>
  </si>
  <si>
    <t>1 hr 30 min machine setting</t>
  </si>
  <si>
    <t>Vaibhav</t>
  </si>
  <si>
    <t>35U01-2nd</t>
  </si>
  <si>
    <t>2 hrs 15 min machine setting</t>
  </si>
  <si>
    <t>Buddish</t>
  </si>
  <si>
    <t>109150-2nd</t>
  </si>
  <si>
    <t>4 hrs 30 min machine setting</t>
  </si>
  <si>
    <t>114622-2nd</t>
  </si>
  <si>
    <t>5 hrs 30 min machine setting</t>
  </si>
  <si>
    <t>Mohamad</t>
  </si>
  <si>
    <t>Sandeep</t>
  </si>
  <si>
    <t>Chandan</t>
  </si>
  <si>
    <t>2 hrs powercut</t>
  </si>
  <si>
    <t>Mahaveer</t>
  </si>
  <si>
    <t>30 min G work</t>
  </si>
  <si>
    <t>505285-2nd</t>
  </si>
  <si>
    <t>110503-2nd</t>
  </si>
  <si>
    <t>2 hrs 30 min powercut</t>
  </si>
  <si>
    <t>7 hrs powercut</t>
  </si>
  <si>
    <t>20 min G work n 40 min powercut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</si>
</sst>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hh:mm;@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8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B82A-6502-4814-A3BF-961AEDFC92A5}">
  <dimension ref="A1:AB76"/>
  <sheetViews>
    <sheetView tabSelected="1" workbookViewId="0">
      <selection activeCell="C24" sqref="C24"/>
    </sheetView>
  </sheetViews>
  <sheetFormatPr defaultColWidth="9.109375" defaultRowHeight="14.4" x14ac:dyDescent="0.3"/>
  <cols>
    <col min="1" max="1" width="10.44140625" style="5" bestFit="1" customWidth="1"/>
    <col min="2" max="2" width="12.33203125" style="5" bestFit="1" customWidth="1"/>
    <col min="3" max="3" width="9.88671875" style="5" bestFit="1" customWidth="1"/>
    <col min="4" max="4" width="9.6640625" style="5" bestFit="1" customWidth="1"/>
    <col min="5" max="5" width="13.88671875" style="5" bestFit="1" customWidth="1"/>
    <col min="6" max="6" width="9.6640625" style="5" bestFit="1" customWidth="1"/>
    <col min="7" max="7" width="5.109375" style="5" bestFit="1" customWidth="1"/>
    <col min="8" max="9" width="9" style="5" bestFit="1" customWidth="1"/>
    <col min="10" max="10" width="5.5546875" style="5" bestFit="1" customWidth="1"/>
    <col min="11" max="11" width="7.6640625" style="5" bestFit="1" customWidth="1"/>
    <col min="12" max="12" width="5.5546875" style="5" bestFit="1" customWidth="1"/>
    <col min="13" max="13" width="8.6640625" style="5" bestFit="1" customWidth="1"/>
    <col min="14" max="14" width="10.88671875" style="5" bestFit="1" customWidth="1"/>
    <col min="15" max="15" width="8.6640625" style="5" bestFit="1" customWidth="1"/>
    <col min="16" max="16" width="14.5546875" style="5" bestFit="1" customWidth="1"/>
    <col min="17" max="17" width="7.6640625" style="5" bestFit="1" customWidth="1"/>
    <col min="18" max="18" width="30.88671875" style="5" bestFit="1" customWidth="1"/>
    <col min="19" max="19" width="9.109375" style="5"/>
    <col min="20" max="20" width="5.5546875" style="5" bestFit="1" customWidth="1"/>
    <col min="21" max="27" width="9.109375" style="5"/>
    <col min="28" max="28" width="4.33203125" style="5" bestFit="1" customWidth="1"/>
    <col min="29" max="16384" width="9.109375" style="5"/>
  </cols>
  <sheetData>
    <row r="1" spans="1:28" x14ac:dyDescent="0.3">
      <c r="A1" s="1" t="s">
        <v>0</v>
      </c>
      <c r="B1" s="2" t="s">
        <v>4</v>
      </c>
      <c r="C1" s="1" t="s">
        <v>1</v>
      </c>
      <c r="D1" s="1" t="s">
        <v>11</v>
      </c>
      <c r="E1" s="1" t="s">
        <v>5</v>
      </c>
      <c r="F1" s="1" t="s">
        <v>10</v>
      </c>
      <c r="G1" s="1" t="s">
        <v>2</v>
      </c>
      <c r="H1" s="1" t="s">
        <v>12</v>
      </c>
      <c r="I1" s="1" t="s">
        <v>13</v>
      </c>
      <c r="J1" s="1" t="s">
        <v>14</v>
      </c>
      <c r="K1" s="1" t="s">
        <v>6</v>
      </c>
      <c r="L1" s="1" t="s">
        <v>15</v>
      </c>
      <c r="M1" s="1" t="s">
        <v>3</v>
      </c>
      <c r="N1" s="3" t="s">
        <v>7</v>
      </c>
      <c r="O1" s="4" t="s">
        <v>8</v>
      </c>
      <c r="P1" s="1" t="s">
        <v>16</v>
      </c>
      <c r="Q1" s="1" t="s">
        <v>9</v>
      </c>
      <c r="R1" s="1" t="s">
        <v>17</v>
      </c>
    </row>
    <row r="2" spans="1:28" x14ac:dyDescent="0.3">
      <c r="A2" s="6">
        <v>45383</v>
      </c>
      <c r="B2" s="7" t="s">
        <v>18</v>
      </c>
      <c r="C2" s="7" t="s">
        <v>19</v>
      </c>
      <c r="D2" s="7">
        <v>200</v>
      </c>
      <c r="E2" s="7">
        <f>1*60+30+10</f>
        <v>100</v>
      </c>
      <c r="F2" s="7">
        <f>D2</f>
        <v>200</v>
      </c>
      <c r="G2" s="7" t="s">
        <v>20</v>
      </c>
      <c r="H2" s="8">
        <v>0.57291666666666663</v>
      </c>
      <c r="I2" s="8">
        <v>0.83333333333333337</v>
      </c>
      <c r="J2" s="9">
        <f t="shared" ref="J2" si="0">I2-H2</f>
        <v>0.26041666666666674</v>
      </c>
      <c r="K2" s="10">
        <v>6</v>
      </c>
      <c r="L2" s="10">
        <v>6</v>
      </c>
      <c r="M2" s="7">
        <v>1</v>
      </c>
      <c r="N2" s="10">
        <f t="shared" ref="N2:N3" si="1">K2*$T$2</f>
        <v>5.5</v>
      </c>
      <c r="O2" s="11">
        <f t="shared" ref="O2:O3" si="2">$T$3/E2*N2</f>
        <v>198</v>
      </c>
      <c r="P2" s="11">
        <f t="shared" ref="P2:P3" si="3">D2</f>
        <v>200</v>
      </c>
      <c r="Q2" s="11">
        <f t="shared" ref="Q2:Q3" si="4">O2-P2</f>
        <v>-2</v>
      </c>
      <c r="R2" s="7"/>
      <c r="T2" s="12">
        <v>0.91666666666666663</v>
      </c>
    </row>
    <row r="3" spans="1:28" x14ac:dyDescent="0.3">
      <c r="A3" s="6"/>
      <c r="B3" s="7" t="s">
        <v>18</v>
      </c>
      <c r="C3" s="7" t="s">
        <v>21</v>
      </c>
      <c r="D3" s="7">
        <v>170</v>
      </c>
      <c r="E3" s="7">
        <f>1*60+33+10</f>
        <v>103</v>
      </c>
      <c r="F3" s="7">
        <f>D3+F2</f>
        <v>370</v>
      </c>
      <c r="G3" s="7" t="s">
        <v>22</v>
      </c>
      <c r="H3" s="8">
        <v>0.83333333333333337</v>
      </c>
      <c r="I3" s="8">
        <v>8.3333333333333329E-2</v>
      </c>
      <c r="J3" s="9">
        <v>0.25</v>
      </c>
      <c r="K3" s="10">
        <v>6</v>
      </c>
      <c r="L3" s="10">
        <v>6</v>
      </c>
      <c r="M3" s="7">
        <v>1</v>
      </c>
      <c r="N3" s="10">
        <f t="shared" si="1"/>
        <v>5.5</v>
      </c>
      <c r="O3" s="11">
        <f t="shared" si="2"/>
        <v>192.23300970873785</v>
      </c>
      <c r="P3" s="11">
        <f t="shared" si="3"/>
        <v>170</v>
      </c>
      <c r="Q3" s="11">
        <f t="shared" si="4"/>
        <v>22.233009708737853</v>
      </c>
      <c r="R3" s="7"/>
      <c r="T3" s="5">
        <v>3600</v>
      </c>
      <c r="AB3" s="7" t="s">
        <v>20</v>
      </c>
    </row>
    <row r="4" spans="1:28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AB4" s="7" t="s">
        <v>22</v>
      </c>
    </row>
    <row r="5" spans="1:28" x14ac:dyDescent="0.3">
      <c r="A5" s="6">
        <v>45384</v>
      </c>
      <c r="B5" s="7" t="s">
        <v>23</v>
      </c>
      <c r="C5" s="7" t="s">
        <v>19</v>
      </c>
      <c r="D5" s="7">
        <v>627</v>
      </c>
      <c r="E5" s="7">
        <f>14+10</f>
        <v>24</v>
      </c>
      <c r="F5" s="7">
        <f t="shared" ref="F5:F7" si="5">D5+F4</f>
        <v>627</v>
      </c>
      <c r="G5" s="7" t="s">
        <v>20</v>
      </c>
      <c r="H5" s="8">
        <v>0.4375</v>
      </c>
      <c r="I5" s="8">
        <v>0.63888888888888884</v>
      </c>
      <c r="J5" s="9">
        <f t="shared" ref="J5" si="6">I5-H5</f>
        <v>0.20138888888888884</v>
      </c>
      <c r="K5" s="10">
        <f t="shared" ref="K5" si="7">J5*24</f>
        <v>4.8333333333333321</v>
      </c>
      <c r="L5" s="10">
        <v>3</v>
      </c>
      <c r="M5" s="7">
        <v>1</v>
      </c>
      <c r="N5" s="10">
        <f t="shared" ref="N5" si="8">K5*$T$2</f>
        <v>4.4305555555555545</v>
      </c>
      <c r="O5" s="11">
        <f t="shared" ref="O5" si="9">$T$3/E5*N5</f>
        <v>664.58333333333314</v>
      </c>
      <c r="P5" s="11">
        <f t="shared" ref="P5" si="10">D5</f>
        <v>627</v>
      </c>
      <c r="Q5" s="11">
        <f t="shared" ref="Q5" si="11">O5-P5</f>
        <v>37.583333333333144</v>
      </c>
      <c r="R5" s="7"/>
    </row>
    <row r="6" spans="1:28" x14ac:dyDescent="0.3">
      <c r="A6" s="6"/>
      <c r="B6" s="7"/>
      <c r="C6" s="7"/>
      <c r="D6" s="7"/>
      <c r="E6" s="7"/>
      <c r="F6" s="7"/>
      <c r="G6" s="7"/>
      <c r="H6" s="8"/>
      <c r="I6" s="8"/>
      <c r="J6" s="9"/>
      <c r="K6" s="10"/>
      <c r="L6" s="10"/>
      <c r="M6" s="7"/>
      <c r="N6" s="10"/>
      <c r="O6" s="11"/>
      <c r="P6" s="11"/>
      <c r="Q6" s="11"/>
      <c r="R6" s="7"/>
    </row>
    <row r="7" spans="1:28" x14ac:dyDescent="0.3">
      <c r="A7" s="6">
        <v>45384</v>
      </c>
      <c r="B7" s="7" t="s">
        <v>24</v>
      </c>
      <c r="C7" s="7" t="s">
        <v>19</v>
      </c>
      <c r="D7" s="7">
        <v>390</v>
      </c>
      <c r="E7" s="7">
        <f>22+10</f>
        <v>32</v>
      </c>
      <c r="F7" s="7">
        <f t="shared" si="5"/>
        <v>390</v>
      </c>
      <c r="G7" s="7" t="s">
        <v>20</v>
      </c>
      <c r="H7" s="8">
        <v>0.63888888888888884</v>
      </c>
      <c r="I7" s="8">
        <v>0.83333333333333337</v>
      </c>
      <c r="J7" s="9">
        <f t="shared" ref="J7" si="12">I7-H7</f>
        <v>0.19444444444444453</v>
      </c>
      <c r="K7" s="10">
        <v>4.0000000000000018</v>
      </c>
      <c r="L7" s="10">
        <v>3</v>
      </c>
      <c r="M7" s="7">
        <v>1</v>
      </c>
      <c r="N7" s="10">
        <f t="shared" ref="N7" si="13">K7*$T$2</f>
        <v>3.6666666666666683</v>
      </c>
      <c r="O7" s="11">
        <f t="shared" ref="O7" si="14">$T$3/E7*N7</f>
        <v>412.50000000000017</v>
      </c>
      <c r="P7" s="11">
        <f t="shared" ref="P7" si="15">D7</f>
        <v>390</v>
      </c>
      <c r="Q7" s="11">
        <f t="shared" ref="Q7" si="16">O7-P7</f>
        <v>22.500000000000171</v>
      </c>
      <c r="R7" s="7" t="s">
        <v>25</v>
      </c>
    </row>
    <row r="8" spans="1:28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28" x14ac:dyDescent="0.3">
      <c r="A9" s="6">
        <v>45384</v>
      </c>
      <c r="B9" s="7" t="s">
        <v>26</v>
      </c>
      <c r="C9" s="7" t="s">
        <v>21</v>
      </c>
      <c r="D9" s="7">
        <v>810</v>
      </c>
      <c r="E9" s="7">
        <f>22+10</f>
        <v>32</v>
      </c>
      <c r="F9" s="7">
        <f>D9+F4</f>
        <v>810</v>
      </c>
      <c r="G9" s="7" t="s">
        <v>22</v>
      </c>
      <c r="H9" s="8">
        <v>0.83333333333333337</v>
      </c>
      <c r="I9" s="8">
        <v>0.25</v>
      </c>
      <c r="J9" s="9">
        <v>0.41666666666666669</v>
      </c>
      <c r="K9" s="10">
        <v>9.5</v>
      </c>
      <c r="L9" s="10">
        <v>6</v>
      </c>
      <c r="M9" s="7">
        <v>1</v>
      </c>
      <c r="N9" s="10">
        <f>K9*$T$2</f>
        <v>8.7083333333333321</v>
      </c>
      <c r="O9" s="11">
        <f>$T$3/E9*N9</f>
        <v>979.68749999999989</v>
      </c>
      <c r="P9" s="11">
        <f>D9</f>
        <v>810</v>
      </c>
      <c r="Q9" s="11">
        <f>O9-P9</f>
        <v>169.68749999999989</v>
      </c>
      <c r="R9" s="7" t="s">
        <v>27</v>
      </c>
    </row>
    <row r="10" spans="1:28" x14ac:dyDescent="0.3">
      <c r="A10" s="6"/>
      <c r="B10" s="7"/>
      <c r="C10" s="7"/>
      <c r="D10" s="7"/>
      <c r="E10" s="7"/>
      <c r="F10" s="7"/>
      <c r="G10" s="7"/>
      <c r="H10" s="8"/>
      <c r="I10" s="8"/>
      <c r="J10" s="9"/>
      <c r="K10" s="10"/>
      <c r="L10" s="10"/>
      <c r="M10" s="7"/>
      <c r="N10" s="10"/>
      <c r="O10" s="11"/>
      <c r="P10" s="11"/>
      <c r="Q10" s="11"/>
      <c r="R10" s="7"/>
    </row>
    <row r="11" spans="1:28" s="19" customFormat="1" x14ac:dyDescent="0.3">
      <c r="A11" s="13">
        <v>45385</v>
      </c>
      <c r="B11" s="14" t="s">
        <v>28</v>
      </c>
      <c r="C11" s="14" t="s">
        <v>19</v>
      </c>
      <c r="D11" s="14">
        <v>199</v>
      </c>
      <c r="E11" s="14">
        <f>22+10</f>
        <v>32</v>
      </c>
      <c r="F11" s="14">
        <f t="shared" ref="F11" si="17">D11+F10</f>
        <v>199</v>
      </c>
      <c r="G11" s="14" t="s">
        <v>20</v>
      </c>
      <c r="H11" s="15">
        <v>0.35416666666666669</v>
      </c>
      <c r="I11" s="15">
        <v>0.4375</v>
      </c>
      <c r="J11" s="16">
        <f t="shared" ref="J11" si="18">I11-H11</f>
        <v>8.3333333333333315E-2</v>
      </c>
      <c r="K11" s="17">
        <v>2</v>
      </c>
      <c r="L11" s="17">
        <v>2</v>
      </c>
      <c r="M11" s="14">
        <v>1</v>
      </c>
      <c r="N11" s="17">
        <f t="shared" ref="N11" si="19">K11*$T$2</f>
        <v>1.8333333333333333</v>
      </c>
      <c r="O11" s="18">
        <f t="shared" ref="O11" si="20">$T$3/E11*N11</f>
        <v>206.25</v>
      </c>
      <c r="P11" s="18">
        <f t="shared" ref="P11" si="21">D11</f>
        <v>199</v>
      </c>
      <c r="Q11" s="18">
        <f t="shared" ref="Q11" si="22">O11-P11</f>
        <v>7.25</v>
      </c>
      <c r="R11" s="14"/>
    </row>
    <row r="12" spans="1:28" s="19" customFormat="1" x14ac:dyDescent="0.3">
      <c r="A12" s="13"/>
      <c r="B12" s="14"/>
      <c r="C12" s="14"/>
      <c r="D12" s="14"/>
      <c r="E12" s="14"/>
      <c r="F12" s="14"/>
      <c r="G12" s="14"/>
      <c r="H12" s="15"/>
      <c r="I12" s="15"/>
      <c r="J12" s="16"/>
      <c r="K12" s="17"/>
      <c r="L12" s="17"/>
      <c r="M12" s="14"/>
      <c r="N12" s="17"/>
      <c r="O12" s="18"/>
      <c r="P12" s="18"/>
      <c r="Q12" s="18"/>
      <c r="R12" s="14"/>
    </row>
    <row r="13" spans="1:28" s="19" customFormat="1" x14ac:dyDescent="0.3">
      <c r="A13" s="13">
        <v>45385</v>
      </c>
      <c r="B13" s="14" t="s">
        <v>29</v>
      </c>
      <c r="C13" s="14" t="s">
        <v>19</v>
      </c>
      <c r="D13" s="14">
        <v>323</v>
      </c>
      <c r="E13" s="14">
        <f>20+10</f>
        <v>30</v>
      </c>
      <c r="F13" s="14">
        <f t="shared" ref="F13" si="23">D13+F12</f>
        <v>323</v>
      </c>
      <c r="G13" s="14" t="s">
        <v>20</v>
      </c>
      <c r="H13" s="15">
        <v>0.4375</v>
      </c>
      <c r="I13" s="15">
        <v>0.64930555555555558</v>
      </c>
      <c r="J13" s="16">
        <f t="shared" ref="J13" si="24">I13-H13</f>
        <v>0.21180555555555558</v>
      </c>
      <c r="K13" s="17">
        <v>3.5833333333333339</v>
      </c>
      <c r="L13" s="17">
        <v>2</v>
      </c>
      <c r="M13" s="14">
        <v>1</v>
      </c>
      <c r="N13" s="17">
        <f t="shared" ref="N13" si="25">K13*$T$2</f>
        <v>3.2847222222222228</v>
      </c>
      <c r="O13" s="18">
        <f t="shared" ref="O13" si="26">$T$3/E13*N13</f>
        <v>394.16666666666674</v>
      </c>
      <c r="P13" s="18">
        <f t="shared" ref="P13" si="27">D13</f>
        <v>323</v>
      </c>
      <c r="Q13" s="18">
        <f t="shared" ref="Q13" si="28">O13-P13</f>
        <v>71.166666666666742</v>
      </c>
      <c r="R13" s="14" t="s">
        <v>30</v>
      </c>
    </row>
    <row r="14" spans="1:28" x14ac:dyDescent="0.3">
      <c r="A14" s="6"/>
      <c r="B14" s="7"/>
      <c r="C14" s="7"/>
      <c r="D14" s="7"/>
      <c r="E14" s="7"/>
      <c r="F14" s="7"/>
      <c r="G14" s="7"/>
      <c r="H14" s="8"/>
      <c r="I14" s="8"/>
      <c r="J14" s="9"/>
      <c r="K14" s="10"/>
      <c r="L14" s="10"/>
      <c r="M14" s="7"/>
      <c r="N14" s="10"/>
      <c r="O14" s="11"/>
      <c r="P14" s="11"/>
      <c r="Q14" s="11"/>
      <c r="R14" s="7"/>
    </row>
    <row r="15" spans="1:28" x14ac:dyDescent="0.3">
      <c r="A15" s="6">
        <v>45385</v>
      </c>
      <c r="B15" s="7">
        <v>505282</v>
      </c>
      <c r="C15" s="7" t="s">
        <v>21</v>
      </c>
      <c r="D15" s="7">
        <v>535</v>
      </c>
      <c r="E15" s="7">
        <f>13+10</f>
        <v>23</v>
      </c>
      <c r="F15" s="7">
        <f t="shared" ref="F15" si="29">D15+F10</f>
        <v>535</v>
      </c>
      <c r="G15" s="7" t="s">
        <v>22</v>
      </c>
      <c r="H15" s="8">
        <v>0.83333333333333337</v>
      </c>
      <c r="I15" s="8">
        <v>4.1666666666666664E-2</v>
      </c>
      <c r="J15" s="9">
        <v>0.20833333333333334</v>
      </c>
      <c r="K15" s="10">
        <v>5</v>
      </c>
      <c r="L15" s="10">
        <v>5</v>
      </c>
      <c r="M15" s="7">
        <v>1</v>
      </c>
      <c r="N15" s="10">
        <f t="shared" ref="N15" si="30">K15*$T$2</f>
        <v>4.583333333333333</v>
      </c>
      <c r="O15" s="11">
        <f t="shared" ref="O15" si="31">$T$3/E15*N15</f>
        <v>717.39130434782601</v>
      </c>
      <c r="P15" s="11">
        <f t="shared" ref="P15" si="32">D15</f>
        <v>535</v>
      </c>
      <c r="Q15" s="11">
        <f t="shared" ref="Q15" si="33">O15-P15</f>
        <v>182.39130434782601</v>
      </c>
      <c r="R15" s="7"/>
    </row>
    <row r="16" spans="1:28" x14ac:dyDescent="0.3">
      <c r="A16" s="6"/>
      <c r="B16" s="7"/>
      <c r="C16" s="7"/>
      <c r="D16" s="7"/>
      <c r="E16" s="7"/>
      <c r="F16" s="7"/>
      <c r="G16" s="7"/>
      <c r="H16" s="8"/>
      <c r="I16" s="8"/>
      <c r="J16" s="9"/>
      <c r="K16" s="10"/>
      <c r="L16" s="10"/>
      <c r="M16" s="7"/>
      <c r="N16" s="10"/>
      <c r="O16" s="11"/>
      <c r="P16" s="11"/>
      <c r="Q16" s="11"/>
      <c r="R16" s="7"/>
    </row>
    <row r="17" spans="1:18" x14ac:dyDescent="0.3">
      <c r="A17" s="6">
        <v>45387</v>
      </c>
      <c r="B17" s="7">
        <v>109353</v>
      </c>
      <c r="C17" s="7" t="s">
        <v>31</v>
      </c>
      <c r="D17" s="7">
        <v>334</v>
      </c>
      <c r="E17" s="7">
        <f>20+10</f>
        <v>30</v>
      </c>
      <c r="F17" s="7">
        <f t="shared" ref="F17" si="34">D17+F16</f>
        <v>334</v>
      </c>
      <c r="G17" s="7" t="s">
        <v>20</v>
      </c>
      <c r="H17" s="8">
        <v>0.41666666666666669</v>
      </c>
      <c r="I17" s="8">
        <v>0.64583333333333337</v>
      </c>
      <c r="J17" s="9">
        <f t="shared" ref="J17" si="35">I17-H17</f>
        <v>0.22916666666666669</v>
      </c>
      <c r="K17" s="10">
        <v>4</v>
      </c>
      <c r="L17" s="10">
        <v>4</v>
      </c>
      <c r="M17" s="7">
        <v>2</v>
      </c>
      <c r="N17" s="10">
        <f t="shared" ref="N17" si="36">K17*$T$2</f>
        <v>3.6666666666666665</v>
      </c>
      <c r="O17" s="11">
        <f t="shared" ref="O17" si="37">$T$3/E17*N17</f>
        <v>440</v>
      </c>
      <c r="P17" s="11">
        <f t="shared" ref="P17" si="38">D17</f>
        <v>334</v>
      </c>
      <c r="Q17" s="11">
        <f t="shared" ref="Q17" si="39">O17-P17</f>
        <v>106</v>
      </c>
      <c r="R17" s="7" t="s">
        <v>30</v>
      </c>
    </row>
    <row r="18" spans="1:18" x14ac:dyDescent="0.3">
      <c r="A18" s="6"/>
      <c r="B18" s="7"/>
      <c r="C18" s="7"/>
      <c r="D18" s="7"/>
      <c r="E18" s="7"/>
      <c r="F18" s="7"/>
      <c r="G18" s="7"/>
      <c r="H18" s="8"/>
      <c r="I18" s="8"/>
      <c r="J18" s="9"/>
      <c r="K18" s="10"/>
      <c r="L18" s="10"/>
      <c r="M18" s="7"/>
      <c r="N18" s="10"/>
      <c r="O18" s="11"/>
      <c r="P18" s="11"/>
      <c r="Q18" s="11"/>
      <c r="R18" s="7"/>
    </row>
    <row r="19" spans="1:18" x14ac:dyDescent="0.3">
      <c r="A19" s="6">
        <v>45387</v>
      </c>
      <c r="B19" s="7" t="s">
        <v>32</v>
      </c>
      <c r="C19" s="7" t="s">
        <v>31</v>
      </c>
      <c r="D19" s="7">
        <v>45</v>
      </c>
      <c r="E19" s="7">
        <f>2*60+35+10</f>
        <v>165</v>
      </c>
      <c r="F19" s="7">
        <f t="shared" ref="F19:F22" si="40">D19+F18</f>
        <v>45</v>
      </c>
      <c r="G19" s="7" t="s">
        <v>20</v>
      </c>
      <c r="H19" s="8">
        <v>0.64583333333333337</v>
      </c>
      <c r="I19" s="8">
        <v>0.83333333333333337</v>
      </c>
      <c r="J19" s="9">
        <f t="shared" ref="J19:J22" si="41">I19-H19</f>
        <v>0.1875</v>
      </c>
      <c r="K19" s="10">
        <v>2.25</v>
      </c>
      <c r="L19" s="10">
        <v>6</v>
      </c>
      <c r="M19" s="7">
        <v>3</v>
      </c>
      <c r="N19" s="10">
        <f t="shared" ref="N19:N22" si="42">K19*$T$2</f>
        <v>2.0625</v>
      </c>
      <c r="O19" s="11">
        <f t="shared" ref="O19:O22" si="43">$T$3/E19*N19</f>
        <v>45</v>
      </c>
      <c r="P19" s="11">
        <f t="shared" ref="P19:P22" si="44">D19</f>
        <v>45</v>
      </c>
      <c r="Q19" s="11">
        <f t="shared" ref="Q19:Q22" si="45">O19-P19</f>
        <v>0</v>
      </c>
      <c r="R19" s="7" t="s">
        <v>33</v>
      </c>
    </row>
    <row r="20" spans="1:18" x14ac:dyDescent="0.3">
      <c r="A20" s="6">
        <v>45388</v>
      </c>
      <c r="B20" s="7" t="s">
        <v>32</v>
      </c>
      <c r="C20" s="7" t="s">
        <v>31</v>
      </c>
      <c r="D20" s="7">
        <v>205</v>
      </c>
      <c r="E20" s="7">
        <f>2*60+35+10</f>
        <v>165</v>
      </c>
      <c r="F20" s="7">
        <f t="shared" si="40"/>
        <v>250</v>
      </c>
      <c r="G20" s="7" t="s">
        <v>20</v>
      </c>
      <c r="H20" s="8">
        <v>0.33333333333333331</v>
      </c>
      <c r="I20" s="8">
        <v>0.83333333333333337</v>
      </c>
      <c r="J20" s="9">
        <f t="shared" si="41"/>
        <v>0.5</v>
      </c>
      <c r="K20" s="10">
        <f t="shared" ref="K20:K22" si="46">J20*24</f>
        <v>12</v>
      </c>
      <c r="L20" s="10">
        <v>6</v>
      </c>
      <c r="M20" s="7">
        <v>1</v>
      </c>
      <c r="N20" s="10">
        <f t="shared" si="42"/>
        <v>11</v>
      </c>
      <c r="O20" s="11">
        <f t="shared" si="43"/>
        <v>239.99999999999997</v>
      </c>
      <c r="P20" s="11">
        <f t="shared" si="44"/>
        <v>205</v>
      </c>
      <c r="Q20" s="11">
        <f t="shared" si="45"/>
        <v>34.999999999999972</v>
      </c>
      <c r="R20" s="7"/>
    </row>
    <row r="21" spans="1:18" x14ac:dyDescent="0.3">
      <c r="A21" s="6"/>
      <c r="B21" s="7" t="s">
        <v>32</v>
      </c>
      <c r="C21" s="7" t="s">
        <v>34</v>
      </c>
      <c r="D21" s="7">
        <v>49</v>
      </c>
      <c r="E21" s="7">
        <f t="shared" ref="E21:E22" si="47">2*60+35+10</f>
        <v>165</v>
      </c>
      <c r="F21" s="7">
        <f t="shared" si="40"/>
        <v>299</v>
      </c>
      <c r="G21" s="7" t="s">
        <v>22</v>
      </c>
      <c r="H21" s="8">
        <v>0.20833333333333334</v>
      </c>
      <c r="I21" s="8">
        <v>0.33333333333333331</v>
      </c>
      <c r="J21" s="9">
        <f t="shared" si="41"/>
        <v>0.12499999999999997</v>
      </c>
      <c r="K21" s="10">
        <f t="shared" si="46"/>
        <v>2.9999999999999991</v>
      </c>
      <c r="L21" s="10">
        <v>3</v>
      </c>
      <c r="M21" s="7">
        <v>2</v>
      </c>
      <c r="N21" s="10">
        <f t="shared" si="42"/>
        <v>2.7499999999999991</v>
      </c>
      <c r="O21" s="11">
        <f t="shared" si="43"/>
        <v>59.999999999999979</v>
      </c>
      <c r="P21" s="11">
        <f t="shared" si="44"/>
        <v>49</v>
      </c>
      <c r="Q21" s="11">
        <f t="shared" si="45"/>
        <v>10.999999999999979</v>
      </c>
      <c r="R21" s="7"/>
    </row>
    <row r="22" spans="1:18" x14ac:dyDescent="0.3">
      <c r="A22" s="6">
        <v>45389</v>
      </c>
      <c r="B22" s="7" t="s">
        <v>32</v>
      </c>
      <c r="C22" s="7" t="s">
        <v>31</v>
      </c>
      <c r="D22" s="7">
        <v>60</v>
      </c>
      <c r="E22" s="7">
        <f t="shared" si="47"/>
        <v>165</v>
      </c>
      <c r="F22" s="7">
        <f t="shared" si="40"/>
        <v>359</v>
      </c>
      <c r="G22" s="7" t="s">
        <v>20</v>
      </c>
      <c r="H22" s="8">
        <v>0.33333333333333331</v>
      </c>
      <c r="I22" s="8">
        <v>0.47916666666666669</v>
      </c>
      <c r="J22" s="9">
        <f t="shared" si="41"/>
        <v>0.14583333333333337</v>
      </c>
      <c r="K22" s="10">
        <f t="shared" si="46"/>
        <v>3.5000000000000009</v>
      </c>
      <c r="L22" s="10">
        <v>3.5</v>
      </c>
      <c r="M22" s="7">
        <v>1</v>
      </c>
      <c r="N22" s="10">
        <f t="shared" si="42"/>
        <v>3.2083333333333339</v>
      </c>
      <c r="O22" s="11">
        <f t="shared" si="43"/>
        <v>70.000000000000014</v>
      </c>
      <c r="P22" s="11">
        <f t="shared" si="44"/>
        <v>60</v>
      </c>
      <c r="Q22" s="11">
        <f t="shared" si="45"/>
        <v>10.000000000000014</v>
      </c>
      <c r="R22" s="7"/>
    </row>
    <row r="23" spans="1:18" x14ac:dyDescent="0.3">
      <c r="A23" s="6"/>
      <c r="B23" s="7"/>
      <c r="C23" s="7"/>
      <c r="D23" s="7"/>
      <c r="E23" s="7"/>
      <c r="F23" s="7"/>
      <c r="G23" s="7"/>
      <c r="H23" s="8"/>
      <c r="I23" s="8"/>
      <c r="J23" s="9"/>
      <c r="K23" s="10"/>
      <c r="L23" s="10"/>
      <c r="M23" s="7"/>
      <c r="N23" s="10"/>
      <c r="O23" s="11"/>
      <c r="P23" s="11"/>
      <c r="Q23" s="11"/>
      <c r="R23" s="7"/>
    </row>
    <row r="24" spans="1:18" x14ac:dyDescent="0.3">
      <c r="A24" s="6">
        <v>45389</v>
      </c>
      <c r="B24" s="7" t="s">
        <v>35</v>
      </c>
      <c r="C24" s="7" t="s">
        <v>31</v>
      </c>
      <c r="D24" s="7">
        <v>424</v>
      </c>
      <c r="E24" s="7">
        <f>20+10</f>
        <v>30</v>
      </c>
      <c r="F24" s="7">
        <f t="shared" ref="F24" si="48">D24+F23</f>
        <v>424</v>
      </c>
      <c r="G24" s="7" t="s">
        <v>20</v>
      </c>
      <c r="H24" s="8">
        <v>0.47916666666666669</v>
      </c>
      <c r="I24" s="8">
        <v>0.83333333333333337</v>
      </c>
      <c r="J24" s="9">
        <f t="shared" ref="J24" si="49">I24-H24</f>
        <v>0.35416666666666669</v>
      </c>
      <c r="K24" s="10">
        <v>3.9999999999999991</v>
      </c>
      <c r="L24" s="10">
        <v>8.5</v>
      </c>
      <c r="M24" s="7">
        <v>1</v>
      </c>
      <c r="N24" s="10">
        <f t="shared" ref="N24" si="50">K24*$T$2</f>
        <v>3.6666666666666656</v>
      </c>
      <c r="O24" s="11">
        <f t="shared" ref="O24" si="51">$T$3/E24*N24</f>
        <v>439.99999999999989</v>
      </c>
      <c r="P24" s="11">
        <f t="shared" ref="P24" si="52">D24</f>
        <v>424</v>
      </c>
      <c r="Q24" s="11">
        <f t="shared" ref="Q24" si="53">O24-P24</f>
        <v>15.999999999999886</v>
      </c>
      <c r="R24" s="7" t="s">
        <v>36</v>
      </c>
    </row>
    <row r="25" spans="1:18" x14ac:dyDescent="0.3">
      <c r="A25" s="6"/>
      <c r="B25" s="7"/>
      <c r="C25" s="7"/>
      <c r="D25" s="7"/>
      <c r="E25" s="7"/>
      <c r="F25" s="7"/>
      <c r="G25" s="7"/>
      <c r="H25" s="8"/>
      <c r="I25" s="8"/>
      <c r="J25" s="9"/>
      <c r="K25" s="10"/>
      <c r="L25" s="10"/>
      <c r="M25" s="7"/>
      <c r="N25" s="10"/>
      <c r="O25" s="11"/>
      <c r="P25" s="11"/>
      <c r="Q25" s="11"/>
      <c r="R25" s="7"/>
    </row>
    <row r="26" spans="1:18" x14ac:dyDescent="0.3">
      <c r="A26" s="6">
        <v>45389</v>
      </c>
      <c r="B26" s="7" t="s">
        <v>37</v>
      </c>
      <c r="C26" s="7" t="s">
        <v>21</v>
      </c>
      <c r="D26" s="7">
        <v>540</v>
      </c>
      <c r="E26" s="7">
        <f>50+10</f>
        <v>60</v>
      </c>
      <c r="F26" s="7">
        <f t="shared" ref="F26:F27" si="54">D26+F25</f>
        <v>540</v>
      </c>
      <c r="G26" s="7" t="s">
        <v>22</v>
      </c>
      <c r="H26" s="8">
        <v>0.83333333333333337</v>
      </c>
      <c r="I26" s="8">
        <v>0.33333333333333331</v>
      </c>
      <c r="J26" s="9">
        <v>0.5</v>
      </c>
      <c r="K26" s="10">
        <f t="shared" ref="K26:K27" si="55">J26*24</f>
        <v>12</v>
      </c>
      <c r="L26" s="10">
        <v>6</v>
      </c>
      <c r="M26" s="7">
        <v>1</v>
      </c>
      <c r="N26" s="10">
        <f t="shared" ref="N26:N27" si="56">K26*$T$2</f>
        <v>11</v>
      </c>
      <c r="O26" s="11">
        <f t="shared" ref="O26:O27" si="57">$T$3/E26*N26</f>
        <v>660</v>
      </c>
      <c r="P26" s="11">
        <f t="shared" ref="P26:P27" si="58">D26</f>
        <v>540</v>
      </c>
      <c r="Q26" s="11">
        <f t="shared" ref="Q26:Q27" si="59">O26-P26</f>
        <v>120</v>
      </c>
      <c r="R26" s="7"/>
    </row>
    <row r="27" spans="1:18" s="19" customFormat="1" x14ac:dyDescent="0.3">
      <c r="A27" s="13">
        <v>45390</v>
      </c>
      <c r="B27" s="14" t="s">
        <v>37</v>
      </c>
      <c r="C27" s="14" t="s">
        <v>31</v>
      </c>
      <c r="D27" s="14">
        <v>295</v>
      </c>
      <c r="E27" s="14">
        <f>50+10</f>
        <v>60</v>
      </c>
      <c r="F27" s="14">
        <f t="shared" si="54"/>
        <v>835</v>
      </c>
      <c r="G27" s="14" t="s">
        <v>20</v>
      </c>
      <c r="H27" s="15">
        <v>0.33333333333333331</v>
      </c>
      <c r="I27" s="15">
        <v>0.5625</v>
      </c>
      <c r="J27" s="16">
        <f t="shared" ref="J27" si="60">I27-H27</f>
        <v>0.22916666666666669</v>
      </c>
      <c r="K27" s="17">
        <f t="shared" si="55"/>
        <v>5.5</v>
      </c>
      <c r="L27" s="17">
        <v>5.5</v>
      </c>
      <c r="M27" s="14">
        <v>1</v>
      </c>
      <c r="N27" s="17">
        <f t="shared" si="56"/>
        <v>5.0416666666666661</v>
      </c>
      <c r="O27" s="18">
        <f t="shared" si="57"/>
        <v>302.49999999999994</v>
      </c>
      <c r="P27" s="18">
        <f t="shared" si="58"/>
        <v>295</v>
      </c>
      <c r="Q27" s="18">
        <f t="shared" si="59"/>
        <v>7.4999999999999432</v>
      </c>
      <c r="R27" s="14"/>
    </row>
    <row r="28" spans="1:18" s="19" customFormat="1" x14ac:dyDescent="0.3">
      <c r="A28" s="13"/>
      <c r="B28" s="14"/>
      <c r="C28" s="14"/>
      <c r="D28" s="14"/>
      <c r="E28" s="14"/>
      <c r="F28" s="14"/>
      <c r="G28" s="14"/>
      <c r="H28" s="15"/>
      <c r="I28" s="15"/>
      <c r="J28" s="16"/>
      <c r="K28" s="17"/>
      <c r="L28" s="17"/>
      <c r="M28" s="14"/>
      <c r="N28" s="17"/>
      <c r="O28" s="18"/>
      <c r="P28" s="18"/>
      <c r="Q28" s="18"/>
      <c r="R28" s="14"/>
    </row>
    <row r="29" spans="1:18" s="19" customFormat="1" x14ac:dyDescent="0.3">
      <c r="A29" s="13">
        <v>45390</v>
      </c>
      <c r="B29" s="14">
        <v>114078</v>
      </c>
      <c r="C29" s="14" t="s">
        <v>31</v>
      </c>
      <c r="D29" s="14">
        <v>30</v>
      </c>
      <c r="E29" s="14">
        <f t="shared" ref="E29:E41" si="61">1*60+45+10</f>
        <v>115</v>
      </c>
      <c r="F29" s="14">
        <f t="shared" ref="F29" si="62">D29+F28</f>
        <v>30</v>
      </c>
      <c r="G29" s="14" t="s">
        <v>20</v>
      </c>
      <c r="H29" s="15">
        <v>0.5625</v>
      </c>
      <c r="I29" s="15">
        <v>0.83333333333333337</v>
      </c>
      <c r="J29" s="16">
        <f t="shared" ref="J29:J30" si="63">I29-H29</f>
        <v>0.27083333333333337</v>
      </c>
      <c r="K29" s="17">
        <v>1.0000000000000018</v>
      </c>
      <c r="L29" s="17">
        <v>6.5</v>
      </c>
      <c r="M29" s="14">
        <v>1</v>
      </c>
      <c r="N29" s="17">
        <f t="shared" ref="N29:N76" si="64">K29*$T$2</f>
        <v>0.91666666666666829</v>
      </c>
      <c r="O29" s="18">
        <f t="shared" ref="O29:O76" si="65">$T$3/E29*N29</f>
        <v>28.695652173913096</v>
      </c>
      <c r="P29" s="18">
        <f t="shared" ref="P29:P76" si="66">D29</f>
        <v>30</v>
      </c>
      <c r="Q29" s="18">
        <f t="shared" ref="Q29:Q76" si="67">O29-P29</f>
        <v>-1.3043478260869037</v>
      </c>
      <c r="R29" s="14" t="s">
        <v>38</v>
      </c>
    </row>
    <row r="30" spans="1:18" s="19" customFormat="1" x14ac:dyDescent="0.3">
      <c r="A30" s="13"/>
      <c r="B30" s="14">
        <v>114078</v>
      </c>
      <c r="C30" s="14" t="s">
        <v>39</v>
      </c>
      <c r="D30" s="14">
        <v>48</v>
      </c>
      <c r="E30" s="14">
        <f t="shared" si="61"/>
        <v>115</v>
      </c>
      <c r="F30" s="14">
        <f>D30+F29</f>
        <v>78</v>
      </c>
      <c r="G30" s="14" t="s">
        <v>20</v>
      </c>
      <c r="H30" s="15">
        <v>0.72916666666666663</v>
      </c>
      <c r="I30" s="15">
        <v>0.79166666666666663</v>
      </c>
      <c r="J30" s="16">
        <f t="shared" si="63"/>
        <v>6.25E-2</v>
      </c>
      <c r="K30" s="17">
        <f t="shared" ref="K30:K76" si="68">J30*24</f>
        <v>1.5</v>
      </c>
      <c r="L30" s="17">
        <v>3.75</v>
      </c>
      <c r="M30" s="14">
        <v>2</v>
      </c>
      <c r="N30" s="17">
        <f t="shared" si="64"/>
        <v>1.375</v>
      </c>
      <c r="O30" s="18">
        <f t="shared" si="65"/>
        <v>43.043478260869563</v>
      </c>
      <c r="P30" s="18">
        <f t="shared" si="66"/>
        <v>48</v>
      </c>
      <c r="Q30" s="18">
        <f t="shared" si="67"/>
        <v>-4.9565217391304373</v>
      </c>
      <c r="R30" s="14"/>
    </row>
    <row r="31" spans="1:18" s="19" customFormat="1" x14ac:dyDescent="0.3">
      <c r="A31" s="13"/>
      <c r="B31" s="14">
        <v>114078</v>
      </c>
      <c r="C31" s="14" t="s">
        <v>21</v>
      </c>
      <c r="D31" s="14">
        <v>254</v>
      </c>
      <c r="E31" s="14">
        <f t="shared" si="61"/>
        <v>115</v>
      </c>
      <c r="F31" s="14">
        <f>D31+F30</f>
        <v>332</v>
      </c>
      <c r="G31" s="14" t="s">
        <v>22</v>
      </c>
      <c r="H31" s="15">
        <v>0.83333333333333337</v>
      </c>
      <c r="I31" s="15">
        <v>0.33333333333333331</v>
      </c>
      <c r="J31" s="16">
        <v>0.5</v>
      </c>
      <c r="K31" s="17">
        <f t="shared" si="68"/>
        <v>12</v>
      </c>
      <c r="L31" s="17">
        <v>6</v>
      </c>
      <c r="M31" s="14">
        <v>2</v>
      </c>
      <c r="N31" s="17">
        <f t="shared" si="64"/>
        <v>11</v>
      </c>
      <c r="O31" s="18">
        <f t="shared" si="65"/>
        <v>344.3478260869565</v>
      </c>
      <c r="P31" s="18">
        <f t="shared" si="66"/>
        <v>254</v>
      </c>
      <c r="Q31" s="18">
        <f t="shared" si="67"/>
        <v>90.347826086956502</v>
      </c>
      <c r="R31" s="14"/>
    </row>
    <row r="32" spans="1:18" s="19" customFormat="1" x14ac:dyDescent="0.3">
      <c r="A32" s="13">
        <v>45391</v>
      </c>
      <c r="B32" s="14">
        <v>114078</v>
      </c>
      <c r="C32" s="14" t="s">
        <v>31</v>
      </c>
      <c r="D32" s="14">
        <v>30</v>
      </c>
      <c r="E32" s="14">
        <f t="shared" si="61"/>
        <v>115</v>
      </c>
      <c r="F32" s="14">
        <f>D32+F31</f>
        <v>362</v>
      </c>
      <c r="G32" s="14" t="s">
        <v>20</v>
      </c>
      <c r="H32" s="15">
        <v>0.33333333333333331</v>
      </c>
      <c r="I32" s="15">
        <v>0.375</v>
      </c>
      <c r="J32" s="16">
        <f t="shared" ref="J32:J76" si="69">I32-H32</f>
        <v>4.1666666666666685E-2</v>
      </c>
      <c r="K32" s="17">
        <f t="shared" si="68"/>
        <v>1.0000000000000004</v>
      </c>
      <c r="L32" s="17">
        <v>1</v>
      </c>
      <c r="M32" s="14">
        <v>1</v>
      </c>
      <c r="N32" s="17">
        <f t="shared" si="64"/>
        <v>0.91666666666666707</v>
      </c>
      <c r="O32" s="18">
        <f t="shared" si="65"/>
        <v>28.695652173913057</v>
      </c>
      <c r="P32" s="18">
        <f t="shared" si="66"/>
        <v>30</v>
      </c>
      <c r="Q32" s="18">
        <f t="shared" si="67"/>
        <v>-1.3043478260869428</v>
      </c>
      <c r="R32" s="14"/>
    </row>
    <row r="33" spans="1:18" s="19" customFormat="1" x14ac:dyDescent="0.3">
      <c r="B33" s="14">
        <v>114078</v>
      </c>
      <c r="C33" s="14" t="s">
        <v>40</v>
      </c>
      <c r="D33" s="14">
        <v>277</v>
      </c>
      <c r="E33" s="14">
        <f t="shared" si="61"/>
        <v>115</v>
      </c>
      <c r="F33" s="14">
        <f>D33+F32</f>
        <v>639</v>
      </c>
      <c r="G33" s="14" t="s">
        <v>20</v>
      </c>
      <c r="H33" s="15">
        <v>0.39583333333333331</v>
      </c>
      <c r="I33" s="15">
        <v>0.83333333333333337</v>
      </c>
      <c r="J33" s="16">
        <f t="shared" si="69"/>
        <v>0.43750000000000006</v>
      </c>
      <c r="K33" s="17">
        <f t="shared" si="68"/>
        <v>10.500000000000002</v>
      </c>
      <c r="L33" s="17">
        <v>10.5</v>
      </c>
      <c r="M33" s="14">
        <v>2</v>
      </c>
      <c r="N33" s="17">
        <f t="shared" si="64"/>
        <v>9.6250000000000018</v>
      </c>
      <c r="O33" s="18">
        <f t="shared" si="65"/>
        <v>301.304347826087</v>
      </c>
      <c r="P33" s="18">
        <f t="shared" si="66"/>
        <v>277</v>
      </c>
      <c r="Q33" s="18">
        <f t="shared" si="67"/>
        <v>24.304347826086996</v>
      </c>
      <c r="R33" s="14"/>
    </row>
    <row r="34" spans="1:18" s="19" customFormat="1" x14ac:dyDescent="0.3">
      <c r="A34" s="14"/>
      <c r="B34" s="14">
        <v>114078</v>
      </c>
      <c r="C34" s="14" t="s">
        <v>41</v>
      </c>
      <c r="D34" s="14">
        <v>214</v>
      </c>
      <c r="E34" s="14">
        <f t="shared" si="61"/>
        <v>115</v>
      </c>
      <c r="F34" s="14">
        <f t="shared" ref="F34:F76" si="70">D34+F33</f>
        <v>853</v>
      </c>
      <c r="G34" s="14" t="s">
        <v>22</v>
      </c>
      <c r="H34" s="15">
        <v>0.83333333333333337</v>
      </c>
      <c r="I34" s="15">
        <v>0.33333333333333331</v>
      </c>
      <c r="J34" s="16">
        <v>0.5</v>
      </c>
      <c r="K34" s="17">
        <v>11.5</v>
      </c>
      <c r="L34" s="17">
        <v>6</v>
      </c>
      <c r="M34" s="14">
        <v>2</v>
      </c>
      <c r="N34" s="17">
        <f t="shared" si="64"/>
        <v>10.541666666666666</v>
      </c>
      <c r="O34" s="18">
        <f t="shared" si="65"/>
        <v>330</v>
      </c>
      <c r="P34" s="18">
        <f t="shared" si="66"/>
        <v>214</v>
      </c>
      <c r="Q34" s="18">
        <f t="shared" si="67"/>
        <v>116</v>
      </c>
      <c r="R34" s="14" t="s">
        <v>27</v>
      </c>
    </row>
    <row r="35" spans="1:18" s="19" customFormat="1" x14ac:dyDescent="0.3">
      <c r="A35" s="13">
        <v>45392</v>
      </c>
      <c r="B35" s="14">
        <v>114078</v>
      </c>
      <c r="C35" s="14" t="s">
        <v>40</v>
      </c>
      <c r="D35" s="14">
        <v>243</v>
      </c>
      <c r="E35" s="14">
        <f t="shared" si="61"/>
        <v>115</v>
      </c>
      <c r="F35" s="14">
        <f t="shared" si="70"/>
        <v>1096</v>
      </c>
      <c r="G35" s="14" t="s">
        <v>20</v>
      </c>
      <c r="H35" s="15">
        <v>0.33333333333333331</v>
      </c>
      <c r="I35" s="15">
        <v>0.75</v>
      </c>
      <c r="J35" s="16">
        <f t="shared" si="69"/>
        <v>0.41666666666666669</v>
      </c>
      <c r="K35" s="17">
        <f t="shared" si="68"/>
        <v>10</v>
      </c>
      <c r="L35" s="17">
        <v>10</v>
      </c>
      <c r="M35" s="14">
        <v>1</v>
      </c>
      <c r="N35" s="17">
        <f t="shared" si="64"/>
        <v>9.1666666666666661</v>
      </c>
      <c r="O35" s="18">
        <f t="shared" si="65"/>
        <v>286.95652173913044</v>
      </c>
      <c r="P35" s="18">
        <f t="shared" si="66"/>
        <v>243</v>
      </c>
      <c r="Q35" s="18">
        <f t="shared" si="67"/>
        <v>43.956521739130437</v>
      </c>
      <c r="R35" s="14"/>
    </row>
    <row r="36" spans="1:18" s="19" customFormat="1" x14ac:dyDescent="0.3">
      <c r="A36" s="13"/>
      <c r="B36" s="14">
        <v>114078</v>
      </c>
      <c r="C36" s="14" t="s">
        <v>21</v>
      </c>
      <c r="D36" s="14">
        <v>235</v>
      </c>
      <c r="E36" s="14">
        <f t="shared" si="61"/>
        <v>115</v>
      </c>
      <c r="F36" s="14">
        <f t="shared" si="70"/>
        <v>1331</v>
      </c>
      <c r="G36" s="14" t="s">
        <v>22</v>
      </c>
      <c r="H36" s="15">
        <v>0.83333333333333337</v>
      </c>
      <c r="I36" s="15">
        <v>0.33333333333333331</v>
      </c>
      <c r="J36" s="16">
        <v>0.5</v>
      </c>
      <c r="K36" s="17">
        <v>10</v>
      </c>
      <c r="L36" s="17">
        <v>6</v>
      </c>
      <c r="M36" s="14">
        <v>1</v>
      </c>
      <c r="N36" s="17">
        <f t="shared" si="64"/>
        <v>9.1666666666666661</v>
      </c>
      <c r="O36" s="18">
        <f t="shared" si="65"/>
        <v>286.95652173913044</v>
      </c>
      <c r="P36" s="18">
        <f t="shared" si="66"/>
        <v>235</v>
      </c>
      <c r="Q36" s="18">
        <f t="shared" si="67"/>
        <v>51.956521739130437</v>
      </c>
      <c r="R36" s="14" t="s">
        <v>42</v>
      </c>
    </row>
    <row r="37" spans="1:18" s="19" customFormat="1" x14ac:dyDescent="0.3">
      <c r="A37" s="13">
        <v>45394</v>
      </c>
      <c r="B37" s="14">
        <v>114078</v>
      </c>
      <c r="C37" s="14" t="s">
        <v>43</v>
      </c>
      <c r="D37" s="14">
        <v>32</v>
      </c>
      <c r="E37" s="14">
        <f t="shared" si="61"/>
        <v>115</v>
      </c>
      <c r="F37" s="14">
        <f t="shared" si="70"/>
        <v>1363</v>
      </c>
      <c r="G37" s="14" t="s">
        <v>20</v>
      </c>
      <c r="H37" s="15">
        <v>0.33333333333333331</v>
      </c>
      <c r="I37" s="15">
        <v>0.41666666666666669</v>
      </c>
      <c r="J37" s="16">
        <f t="shared" si="69"/>
        <v>8.333333333333337E-2</v>
      </c>
      <c r="K37" s="17">
        <v>1.5</v>
      </c>
      <c r="L37" s="17">
        <v>3</v>
      </c>
      <c r="M37" s="14">
        <v>1</v>
      </c>
      <c r="N37" s="17">
        <f t="shared" si="64"/>
        <v>1.375</v>
      </c>
      <c r="O37" s="18">
        <f t="shared" si="65"/>
        <v>43.043478260869563</v>
      </c>
      <c r="P37" s="18">
        <f t="shared" si="66"/>
        <v>32</v>
      </c>
      <c r="Q37" s="18">
        <f t="shared" si="67"/>
        <v>11.043478260869563</v>
      </c>
      <c r="R37" s="14" t="s">
        <v>44</v>
      </c>
    </row>
    <row r="38" spans="1:18" s="19" customFormat="1" x14ac:dyDescent="0.3">
      <c r="A38" s="13"/>
      <c r="B38" s="14">
        <v>114078</v>
      </c>
      <c r="C38" s="14" t="s">
        <v>40</v>
      </c>
      <c r="D38" s="14">
        <v>219</v>
      </c>
      <c r="E38" s="14">
        <f t="shared" si="61"/>
        <v>115</v>
      </c>
      <c r="F38" s="14">
        <f t="shared" si="70"/>
        <v>1582</v>
      </c>
      <c r="G38" s="14" t="s">
        <v>20</v>
      </c>
      <c r="H38" s="15">
        <v>0.4375</v>
      </c>
      <c r="I38" s="15">
        <v>0.83333333333333337</v>
      </c>
      <c r="J38" s="16">
        <f t="shared" si="69"/>
        <v>0.39583333333333337</v>
      </c>
      <c r="K38" s="17">
        <f t="shared" ref="K38" si="71">J38*24</f>
        <v>9.5</v>
      </c>
      <c r="L38" s="17">
        <v>4</v>
      </c>
      <c r="M38" s="14">
        <v>1</v>
      </c>
      <c r="N38" s="17">
        <f t="shared" si="64"/>
        <v>8.7083333333333321</v>
      </c>
      <c r="O38" s="18">
        <f t="shared" si="65"/>
        <v>272.60869565217388</v>
      </c>
      <c r="P38" s="18">
        <f t="shared" si="66"/>
        <v>219</v>
      </c>
      <c r="Q38" s="18">
        <f t="shared" si="67"/>
        <v>53.608695652173878</v>
      </c>
      <c r="R38" s="14"/>
    </row>
    <row r="39" spans="1:18" s="19" customFormat="1" x14ac:dyDescent="0.3">
      <c r="A39" s="13"/>
      <c r="B39" s="14">
        <v>114078</v>
      </c>
      <c r="C39" s="14" t="s">
        <v>21</v>
      </c>
      <c r="D39" s="14">
        <v>207</v>
      </c>
      <c r="E39" s="14">
        <f t="shared" si="61"/>
        <v>115</v>
      </c>
      <c r="F39" s="14">
        <f t="shared" si="70"/>
        <v>1789</v>
      </c>
      <c r="G39" s="14" t="s">
        <v>22</v>
      </c>
      <c r="H39" s="15">
        <v>0.83333333333333337</v>
      </c>
      <c r="I39" s="15">
        <v>0.22916666666666666</v>
      </c>
      <c r="J39" s="16">
        <v>0.39583333333333331</v>
      </c>
      <c r="K39" s="17">
        <f t="shared" si="68"/>
        <v>9.5</v>
      </c>
      <c r="L39" s="17">
        <v>6</v>
      </c>
      <c r="M39" s="14">
        <v>1</v>
      </c>
      <c r="N39" s="17">
        <f t="shared" si="64"/>
        <v>8.7083333333333321</v>
      </c>
      <c r="O39" s="18">
        <f t="shared" si="65"/>
        <v>272.60869565217388</v>
      </c>
      <c r="P39" s="18">
        <f t="shared" si="66"/>
        <v>207</v>
      </c>
      <c r="Q39" s="18">
        <f t="shared" si="67"/>
        <v>65.608695652173878</v>
      </c>
      <c r="R39" s="14"/>
    </row>
    <row r="40" spans="1:18" s="19" customFormat="1" x14ac:dyDescent="0.3">
      <c r="A40" s="13"/>
      <c r="B40" s="14">
        <v>114078</v>
      </c>
      <c r="C40" s="14" t="s">
        <v>34</v>
      </c>
      <c r="D40" s="14">
        <v>60</v>
      </c>
      <c r="E40" s="14">
        <f t="shared" si="61"/>
        <v>115</v>
      </c>
      <c r="F40" s="14">
        <f t="shared" si="70"/>
        <v>1849</v>
      </c>
      <c r="G40" s="14" t="s">
        <v>22</v>
      </c>
      <c r="H40" s="15">
        <v>0.22916666666666666</v>
      </c>
      <c r="I40" s="15">
        <v>0.33333333333333331</v>
      </c>
      <c r="J40" s="16">
        <f t="shared" ref="J40:J41" si="72">I40-H40</f>
        <v>0.10416666666666666</v>
      </c>
      <c r="K40" s="17">
        <f t="shared" si="68"/>
        <v>2.5</v>
      </c>
      <c r="L40" s="17">
        <v>2.5</v>
      </c>
      <c r="M40" s="14">
        <v>2</v>
      </c>
      <c r="N40" s="17">
        <f t="shared" si="64"/>
        <v>2.2916666666666665</v>
      </c>
      <c r="O40" s="18">
        <f t="shared" si="65"/>
        <v>71.739130434782609</v>
      </c>
      <c r="P40" s="18">
        <f t="shared" si="66"/>
        <v>60</v>
      </c>
      <c r="Q40" s="18">
        <f t="shared" si="67"/>
        <v>11.739130434782609</v>
      </c>
      <c r="R40" s="14"/>
    </row>
    <row r="41" spans="1:18" s="19" customFormat="1" x14ac:dyDescent="0.3">
      <c r="A41" s="13">
        <v>45395</v>
      </c>
      <c r="B41" s="14">
        <v>114078</v>
      </c>
      <c r="C41" s="14" t="s">
        <v>31</v>
      </c>
      <c r="D41" s="14">
        <v>170</v>
      </c>
      <c r="E41" s="14">
        <f t="shared" si="61"/>
        <v>115</v>
      </c>
      <c r="F41" s="14">
        <f t="shared" si="70"/>
        <v>2019</v>
      </c>
      <c r="G41" s="14" t="s">
        <v>20</v>
      </c>
      <c r="H41" s="15">
        <v>0.33333333333333331</v>
      </c>
      <c r="I41" s="15">
        <v>0.83333333333333337</v>
      </c>
      <c r="J41" s="16">
        <f t="shared" si="72"/>
        <v>0.5</v>
      </c>
      <c r="K41" s="17">
        <v>6.5000000000000009</v>
      </c>
      <c r="L41" s="17">
        <v>12</v>
      </c>
      <c r="M41" s="14">
        <v>1</v>
      </c>
      <c r="N41" s="17">
        <f t="shared" si="64"/>
        <v>5.9583333333333339</v>
      </c>
      <c r="O41" s="18">
        <f t="shared" si="65"/>
        <v>186.52173913043481</v>
      </c>
      <c r="P41" s="18">
        <f t="shared" si="66"/>
        <v>170</v>
      </c>
      <c r="Q41" s="18">
        <f t="shared" si="67"/>
        <v>16.52173913043481</v>
      </c>
      <c r="R41" s="14" t="s">
        <v>38</v>
      </c>
    </row>
    <row r="42" spans="1:18" s="19" customFormat="1" x14ac:dyDescent="0.3">
      <c r="A42" s="13"/>
      <c r="B42" s="14"/>
      <c r="C42" s="14"/>
      <c r="D42" s="14"/>
      <c r="E42" s="14"/>
      <c r="F42" s="14"/>
      <c r="G42" s="14"/>
      <c r="H42" s="15"/>
      <c r="I42" s="15"/>
      <c r="J42" s="16"/>
      <c r="K42" s="17"/>
      <c r="L42" s="17"/>
      <c r="M42" s="14"/>
      <c r="N42" s="17"/>
      <c r="O42" s="18"/>
      <c r="P42" s="18"/>
      <c r="Q42" s="18"/>
      <c r="R42" s="14"/>
    </row>
    <row r="43" spans="1:18" s="19" customFormat="1" x14ac:dyDescent="0.3">
      <c r="A43" s="13">
        <v>45395</v>
      </c>
      <c r="B43" s="14" t="s">
        <v>45</v>
      </c>
      <c r="C43" s="14" t="s">
        <v>21</v>
      </c>
      <c r="D43" s="14">
        <v>700</v>
      </c>
      <c r="E43" s="14">
        <f>16+10</f>
        <v>26</v>
      </c>
      <c r="F43" s="14">
        <f t="shared" si="70"/>
        <v>700</v>
      </c>
      <c r="G43" s="14" t="s">
        <v>22</v>
      </c>
      <c r="H43" s="15">
        <v>0.83333333333333337</v>
      </c>
      <c r="I43" s="15">
        <v>0.33333333333333331</v>
      </c>
      <c r="J43" s="16">
        <v>0.5</v>
      </c>
      <c r="K43" s="17">
        <f t="shared" si="68"/>
        <v>12</v>
      </c>
      <c r="L43" s="17">
        <v>6</v>
      </c>
      <c r="M43" s="14">
        <v>2</v>
      </c>
      <c r="N43" s="17">
        <f t="shared" si="64"/>
        <v>11</v>
      </c>
      <c r="O43" s="18">
        <f t="shared" si="65"/>
        <v>1523.0769230769229</v>
      </c>
      <c r="P43" s="18">
        <f t="shared" si="66"/>
        <v>700</v>
      </c>
      <c r="Q43" s="18">
        <f t="shared" si="67"/>
        <v>823.07692307692287</v>
      </c>
      <c r="R43" s="14"/>
    </row>
    <row r="44" spans="1:18" s="19" customFormat="1" x14ac:dyDescent="0.3">
      <c r="A44" s="14"/>
      <c r="B44" s="14" t="s">
        <v>45</v>
      </c>
      <c r="C44" s="14" t="s">
        <v>41</v>
      </c>
      <c r="D44" s="14">
        <v>211</v>
      </c>
      <c r="E44" s="14">
        <f>16+10</f>
        <v>26</v>
      </c>
      <c r="F44" s="14">
        <f t="shared" si="70"/>
        <v>911</v>
      </c>
      <c r="G44" s="14" t="s">
        <v>22</v>
      </c>
      <c r="H44" s="15">
        <v>0.22916666666666666</v>
      </c>
      <c r="I44" s="15">
        <v>0.33333333333333331</v>
      </c>
      <c r="J44" s="16">
        <f t="shared" si="69"/>
        <v>0.10416666666666666</v>
      </c>
      <c r="K44" s="17">
        <f t="shared" si="68"/>
        <v>2.5</v>
      </c>
      <c r="L44" s="17">
        <v>2.5</v>
      </c>
      <c r="M44" s="14">
        <v>2</v>
      </c>
      <c r="N44" s="17">
        <f t="shared" si="64"/>
        <v>2.2916666666666665</v>
      </c>
      <c r="O44" s="18">
        <f t="shared" si="65"/>
        <v>317.30769230769226</v>
      </c>
      <c r="P44" s="18">
        <f t="shared" si="66"/>
        <v>211</v>
      </c>
      <c r="Q44" s="18">
        <f t="shared" si="67"/>
        <v>106.30769230769226</v>
      </c>
      <c r="R44" s="14"/>
    </row>
    <row r="45" spans="1:18" s="19" customFormat="1" x14ac:dyDescent="0.3">
      <c r="A45" s="13">
        <v>45396</v>
      </c>
      <c r="B45" s="14"/>
      <c r="C45" s="14"/>
      <c r="D45" s="14"/>
      <c r="E45" s="14"/>
      <c r="F45" s="14">
        <f>D45+F44</f>
        <v>911</v>
      </c>
      <c r="G45" s="14"/>
      <c r="H45" s="15"/>
      <c r="I45" s="15"/>
      <c r="J45" s="16">
        <f t="shared" si="69"/>
        <v>0</v>
      </c>
      <c r="K45" s="17">
        <f t="shared" si="68"/>
        <v>0</v>
      </c>
      <c r="L45" s="17"/>
      <c r="M45" s="14"/>
      <c r="N45" s="17">
        <f t="shared" si="64"/>
        <v>0</v>
      </c>
      <c r="O45" s="18" t="e">
        <f t="shared" si="65"/>
        <v>#DIV/0!</v>
      </c>
      <c r="P45" s="18">
        <f t="shared" si="66"/>
        <v>0</v>
      </c>
      <c r="Q45" s="18" t="e">
        <f t="shared" si="67"/>
        <v>#DIV/0!</v>
      </c>
      <c r="R45" s="14"/>
    </row>
    <row r="46" spans="1:18" s="19" customFormat="1" x14ac:dyDescent="0.3">
      <c r="A46" s="13"/>
      <c r="B46" s="14"/>
      <c r="C46" s="14"/>
      <c r="D46" s="14"/>
      <c r="E46" s="14"/>
      <c r="F46" s="14">
        <f t="shared" si="70"/>
        <v>911</v>
      </c>
      <c r="G46" s="14"/>
      <c r="H46" s="15"/>
      <c r="I46" s="15"/>
      <c r="J46" s="16">
        <f t="shared" si="69"/>
        <v>0</v>
      </c>
      <c r="K46" s="17">
        <f t="shared" si="68"/>
        <v>0</v>
      </c>
      <c r="L46" s="17"/>
      <c r="M46" s="14"/>
      <c r="N46" s="17">
        <f t="shared" si="64"/>
        <v>0</v>
      </c>
      <c r="O46" s="18" t="e">
        <f t="shared" si="65"/>
        <v>#DIV/0!</v>
      </c>
      <c r="P46" s="18">
        <f t="shared" si="66"/>
        <v>0</v>
      </c>
      <c r="Q46" s="18" t="e">
        <f t="shared" si="67"/>
        <v>#DIV/0!</v>
      </c>
      <c r="R46" s="14"/>
    </row>
    <row r="47" spans="1:18" s="19" customFormat="1" x14ac:dyDescent="0.3">
      <c r="A47" s="13">
        <v>45397</v>
      </c>
      <c r="B47" s="14" t="s">
        <v>46</v>
      </c>
      <c r="C47" s="14" t="s">
        <v>40</v>
      </c>
      <c r="D47" s="14">
        <v>251</v>
      </c>
      <c r="E47" s="14">
        <f>1*60+10+10</f>
        <v>80</v>
      </c>
      <c r="F47" s="14">
        <f t="shared" si="70"/>
        <v>1162</v>
      </c>
      <c r="G47" s="14" t="s">
        <v>20</v>
      </c>
      <c r="H47" s="15">
        <v>0.33333333333333331</v>
      </c>
      <c r="I47" s="15">
        <v>0.83333333333333337</v>
      </c>
      <c r="J47" s="16">
        <f t="shared" si="69"/>
        <v>0.5</v>
      </c>
      <c r="K47" s="17">
        <v>9.6666666666666679</v>
      </c>
      <c r="L47" s="17">
        <v>12</v>
      </c>
      <c r="M47" s="14">
        <v>1</v>
      </c>
      <c r="N47" s="17">
        <f t="shared" si="64"/>
        <v>8.8611111111111125</v>
      </c>
      <c r="O47" s="18">
        <f t="shared" si="65"/>
        <v>398.75000000000006</v>
      </c>
      <c r="P47" s="18">
        <f t="shared" si="66"/>
        <v>251</v>
      </c>
      <c r="Q47" s="18">
        <f t="shared" si="67"/>
        <v>147.75000000000006</v>
      </c>
      <c r="R47" s="14" t="s">
        <v>47</v>
      </c>
    </row>
    <row r="48" spans="1:18" s="19" customFormat="1" x14ac:dyDescent="0.3">
      <c r="A48" s="14"/>
      <c r="B48" s="14" t="s">
        <v>46</v>
      </c>
      <c r="C48" s="14" t="s">
        <v>34</v>
      </c>
      <c r="D48" s="14">
        <v>80</v>
      </c>
      <c r="E48" s="14">
        <f>1*60+10+10</f>
        <v>80</v>
      </c>
      <c r="F48" s="14">
        <f t="shared" si="70"/>
        <v>1242</v>
      </c>
      <c r="G48" s="14" t="s">
        <v>22</v>
      </c>
      <c r="H48" s="15">
        <v>0.125</v>
      </c>
      <c r="I48" s="15">
        <v>0.33333333333333331</v>
      </c>
      <c r="J48" s="16">
        <f t="shared" si="69"/>
        <v>0.20833333333333331</v>
      </c>
      <c r="K48" s="17">
        <f t="shared" si="68"/>
        <v>5</v>
      </c>
      <c r="L48" s="17">
        <v>12</v>
      </c>
      <c r="M48" s="14">
        <v>1</v>
      </c>
      <c r="N48" s="17">
        <f t="shared" si="64"/>
        <v>4.583333333333333</v>
      </c>
      <c r="O48" s="18">
        <f t="shared" si="65"/>
        <v>206.25</v>
      </c>
      <c r="P48" s="18">
        <f t="shared" si="66"/>
        <v>80</v>
      </c>
      <c r="Q48" s="18">
        <f t="shared" si="67"/>
        <v>126.25</v>
      </c>
      <c r="R48" s="14" t="s">
        <v>48</v>
      </c>
    </row>
    <row r="49" spans="1:18" s="19" customFormat="1" x14ac:dyDescent="0.3">
      <c r="A49" s="13">
        <v>45398</v>
      </c>
      <c r="B49" s="14" t="s">
        <v>46</v>
      </c>
      <c r="C49" s="14" t="s">
        <v>40</v>
      </c>
      <c r="D49" s="14">
        <v>324</v>
      </c>
      <c r="E49" s="14">
        <f>1*60+10+10</f>
        <v>80</v>
      </c>
      <c r="F49" s="14">
        <f t="shared" si="70"/>
        <v>1566</v>
      </c>
      <c r="G49" s="14" t="s">
        <v>20</v>
      </c>
      <c r="H49" s="15">
        <v>0.33333333333333331</v>
      </c>
      <c r="I49" s="15">
        <v>0.83333333333333337</v>
      </c>
      <c r="J49" s="16">
        <f t="shared" si="69"/>
        <v>0.5</v>
      </c>
      <c r="K49" s="17">
        <v>11</v>
      </c>
      <c r="L49" s="17">
        <v>6</v>
      </c>
      <c r="M49" s="14">
        <v>1</v>
      </c>
      <c r="N49" s="17">
        <f t="shared" si="64"/>
        <v>10.083333333333332</v>
      </c>
      <c r="O49" s="18">
        <f t="shared" si="65"/>
        <v>453.74999999999994</v>
      </c>
      <c r="P49" s="18">
        <f t="shared" si="66"/>
        <v>324</v>
      </c>
      <c r="Q49" s="18">
        <f t="shared" si="67"/>
        <v>129.74999999999994</v>
      </c>
      <c r="R49" s="14" t="s">
        <v>49</v>
      </c>
    </row>
    <row r="50" spans="1:18" s="19" customFormat="1" x14ac:dyDescent="0.3">
      <c r="A50" s="13"/>
      <c r="B50" s="14" t="s">
        <v>46</v>
      </c>
      <c r="C50" s="14" t="s">
        <v>34</v>
      </c>
      <c r="D50" s="14">
        <v>113</v>
      </c>
      <c r="E50" s="14">
        <f>1*60+10+10</f>
        <v>80</v>
      </c>
      <c r="F50" s="14">
        <f t="shared" si="70"/>
        <v>1679</v>
      </c>
      <c r="G50" s="14" t="s">
        <v>22</v>
      </c>
      <c r="H50" s="15">
        <v>0.83333333333333337</v>
      </c>
      <c r="I50" s="15">
        <v>0.33333333333333331</v>
      </c>
      <c r="J50" s="16">
        <v>0.5</v>
      </c>
      <c r="K50" s="17">
        <f t="shared" si="68"/>
        <v>12</v>
      </c>
      <c r="L50" s="17">
        <v>6</v>
      </c>
      <c r="M50" s="14">
        <v>1</v>
      </c>
      <c r="N50" s="17">
        <f t="shared" si="64"/>
        <v>11</v>
      </c>
      <c r="O50" s="18">
        <f t="shared" si="65"/>
        <v>495</v>
      </c>
      <c r="P50" s="18">
        <f t="shared" si="66"/>
        <v>113</v>
      </c>
      <c r="Q50" s="18">
        <f t="shared" si="67"/>
        <v>382</v>
      </c>
      <c r="R50" s="14"/>
    </row>
    <row r="51" spans="1:18" s="19" customFormat="1" x14ac:dyDescent="0.3">
      <c r="A51" s="13">
        <v>45399</v>
      </c>
      <c r="B51" s="14"/>
      <c r="C51" s="14"/>
      <c r="D51" s="14"/>
      <c r="E51" s="14"/>
      <c r="F51" s="14">
        <f t="shared" si="70"/>
        <v>1679</v>
      </c>
      <c r="G51" s="14"/>
      <c r="H51" s="15"/>
      <c r="I51" s="15"/>
      <c r="J51" s="16">
        <f t="shared" si="69"/>
        <v>0</v>
      </c>
      <c r="K51" s="17">
        <f t="shared" si="68"/>
        <v>0</v>
      </c>
      <c r="L51" s="17"/>
      <c r="M51" s="14"/>
      <c r="N51" s="17">
        <f t="shared" si="64"/>
        <v>0</v>
      </c>
      <c r="O51" s="18" t="e">
        <f t="shared" si="65"/>
        <v>#DIV/0!</v>
      </c>
      <c r="P51" s="18">
        <f t="shared" si="66"/>
        <v>0</v>
      </c>
      <c r="Q51" s="18" t="e">
        <f t="shared" si="67"/>
        <v>#DIV/0!</v>
      </c>
      <c r="R51" s="14"/>
    </row>
    <row r="52" spans="1:18" s="19" customFormat="1" x14ac:dyDescent="0.3">
      <c r="A52" s="14"/>
      <c r="B52" s="14"/>
      <c r="C52" s="14"/>
      <c r="D52" s="14"/>
      <c r="E52" s="14"/>
      <c r="F52" s="14">
        <f t="shared" si="70"/>
        <v>1679</v>
      </c>
      <c r="G52" s="14"/>
      <c r="H52" s="15"/>
      <c r="I52" s="15"/>
      <c r="J52" s="16">
        <f t="shared" si="69"/>
        <v>0</v>
      </c>
      <c r="K52" s="17">
        <f t="shared" si="68"/>
        <v>0</v>
      </c>
      <c r="L52" s="17"/>
      <c r="M52" s="14"/>
      <c r="N52" s="17">
        <f t="shared" si="64"/>
        <v>0</v>
      </c>
      <c r="O52" s="18" t="e">
        <f t="shared" si="65"/>
        <v>#DIV/0!</v>
      </c>
      <c r="P52" s="18">
        <f t="shared" si="66"/>
        <v>0</v>
      </c>
      <c r="Q52" s="18" t="e">
        <f t="shared" si="67"/>
        <v>#DIV/0!</v>
      </c>
      <c r="R52" s="14"/>
    </row>
    <row r="53" spans="1:18" s="19" customFormat="1" x14ac:dyDescent="0.3">
      <c r="A53" s="13">
        <v>45401</v>
      </c>
      <c r="B53" s="14"/>
      <c r="C53" s="14"/>
      <c r="D53" s="14"/>
      <c r="E53" s="14"/>
      <c r="F53" s="14">
        <f t="shared" si="70"/>
        <v>1679</v>
      </c>
      <c r="G53" s="14"/>
      <c r="H53" s="15"/>
      <c r="I53" s="15"/>
      <c r="J53" s="16">
        <f t="shared" si="69"/>
        <v>0</v>
      </c>
      <c r="K53" s="17">
        <f t="shared" si="68"/>
        <v>0</v>
      </c>
      <c r="L53" s="17"/>
      <c r="M53" s="14"/>
      <c r="N53" s="17">
        <f t="shared" si="64"/>
        <v>0</v>
      </c>
      <c r="O53" s="18" t="e">
        <f t="shared" si="65"/>
        <v>#DIV/0!</v>
      </c>
      <c r="P53" s="18">
        <f t="shared" si="66"/>
        <v>0</v>
      </c>
      <c r="Q53" s="18" t="e">
        <f t="shared" si="67"/>
        <v>#DIV/0!</v>
      </c>
      <c r="R53" s="14"/>
    </row>
    <row r="54" spans="1:18" s="19" customFormat="1" x14ac:dyDescent="0.3">
      <c r="A54" s="14"/>
      <c r="B54" s="14"/>
      <c r="C54" s="14"/>
      <c r="D54" s="14"/>
      <c r="E54" s="14"/>
      <c r="F54" s="14">
        <f t="shared" si="70"/>
        <v>1679</v>
      </c>
      <c r="G54" s="14"/>
      <c r="H54" s="15"/>
      <c r="I54" s="15"/>
      <c r="J54" s="16">
        <f t="shared" si="69"/>
        <v>0</v>
      </c>
      <c r="K54" s="17">
        <f t="shared" si="68"/>
        <v>0</v>
      </c>
      <c r="L54" s="17"/>
      <c r="M54" s="14"/>
      <c r="N54" s="17">
        <f t="shared" si="64"/>
        <v>0</v>
      </c>
      <c r="O54" s="18" t="e">
        <f t="shared" si="65"/>
        <v>#DIV/0!</v>
      </c>
      <c r="P54" s="18">
        <f t="shared" si="66"/>
        <v>0</v>
      </c>
      <c r="Q54" s="18" t="e">
        <f t="shared" si="67"/>
        <v>#DIV/0!</v>
      </c>
      <c r="R54" s="14"/>
    </row>
    <row r="55" spans="1:18" s="19" customFormat="1" x14ac:dyDescent="0.3">
      <c r="A55" s="13">
        <v>45402</v>
      </c>
      <c r="B55" s="14"/>
      <c r="C55" s="14"/>
      <c r="D55" s="14"/>
      <c r="E55" s="14"/>
      <c r="F55" s="14">
        <f t="shared" si="70"/>
        <v>1679</v>
      </c>
      <c r="G55" s="14"/>
      <c r="H55" s="15"/>
      <c r="I55" s="15"/>
      <c r="J55" s="16">
        <f t="shared" si="69"/>
        <v>0</v>
      </c>
      <c r="K55" s="17">
        <f t="shared" si="68"/>
        <v>0</v>
      </c>
      <c r="L55" s="17"/>
      <c r="M55" s="14"/>
      <c r="N55" s="17">
        <f t="shared" si="64"/>
        <v>0</v>
      </c>
      <c r="O55" s="18" t="e">
        <f t="shared" si="65"/>
        <v>#DIV/0!</v>
      </c>
      <c r="P55" s="18">
        <f t="shared" si="66"/>
        <v>0</v>
      </c>
      <c r="Q55" s="18" t="e">
        <f t="shared" si="67"/>
        <v>#DIV/0!</v>
      </c>
      <c r="R55" s="14"/>
    </row>
    <row r="56" spans="1:18" s="19" customFormat="1" x14ac:dyDescent="0.3">
      <c r="A56" s="13"/>
      <c r="B56" s="14"/>
      <c r="C56" s="14"/>
      <c r="D56" s="14"/>
      <c r="E56" s="14"/>
      <c r="F56" s="14">
        <f t="shared" si="70"/>
        <v>1679</v>
      </c>
      <c r="G56" s="14"/>
      <c r="H56" s="15"/>
      <c r="I56" s="15"/>
      <c r="J56" s="16">
        <f t="shared" si="69"/>
        <v>0</v>
      </c>
      <c r="K56" s="17">
        <f t="shared" si="68"/>
        <v>0</v>
      </c>
      <c r="L56" s="17"/>
      <c r="M56" s="14"/>
      <c r="N56" s="17">
        <f t="shared" si="64"/>
        <v>0</v>
      </c>
      <c r="O56" s="18" t="e">
        <f t="shared" si="65"/>
        <v>#DIV/0!</v>
      </c>
      <c r="P56" s="18">
        <f t="shared" si="66"/>
        <v>0</v>
      </c>
      <c r="Q56" s="18" t="e">
        <f t="shared" si="67"/>
        <v>#DIV/0!</v>
      </c>
      <c r="R56" s="14"/>
    </row>
    <row r="57" spans="1:18" s="19" customFormat="1" x14ac:dyDescent="0.3">
      <c r="A57" s="13">
        <v>45403</v>
      </c>
      <c r="B57" s="14"/>
      <c r="C57" s="14"/>
      <c r="D57" s="14"/>
      <c r="E57" s="14"/>
      <c r="F57" s="14">
        <f t="shared" si="70"/>
        <v>1679</v>
      </c>
      <c r="G57" s="14"/>
      <c r="H57" s="15"/>
      <c r="I57" s="15"/>
      <c r="J57" s="16">
        <f t="shared" si="69"/>
        <v>0</v>
      </c>
      <c r="K57" s="17">
        <f t="shared" si="68"/>
        <v>0</v>
      </c>
      <c r="L57" s="17"/>
      <c r="M57" s="14"/>
      <c r="N57" s="17">
        <f t="shared" si="64"/>
        <v>0</v>
      </c>
      <c r="O57" s="18" t="e">
        <f t="shared" si="65"/>
        <v>#DIV/0!</v>
      </c>
      <c r="P57" s="18">
        <f t="shared" si="66"/>
        <v>0</v>
      </c>
      <c r="Q57" s="18" t="e">
        <f t="shared" si="67"/>
        <v>#DIV/0!</v>
      </c>
      <c r="R57" s="14"/>
    </row>
    <row r="58" spans="1:18" s="19" customFormat="1" x14ac:dyDescent="0.3">
      <c r="A58" s="14"/>
      <c r="B58" s="14"/>
      <c r="C58" s="14"/>
      <c r="D58" s="14"/>
      <c r="E58" s="14"/>
      <c r="F58" s="14">
        <f t="shared" si="70"/>
        <v>1679</v>
      </c>
      <c r="G58" s="14"/>
      <c r="H58" s="15"/>
      <c r="I58" s="15"/>
      <c r="J58" s="16">
        <f t="shared" si="69"/>
        <v>0</v>
      </c>
      <c r="K58" s="17">
        <f t="shared" si="68"/>
        <v>0</v>
      </c>
      <c r="L58" s="17"/>
      <c r="M58" s="14"/>
      <c r="N58" s="17">
        <f t="shared" si="64"/>
        <v>0</v>
      </c>
      <c r="O58" s="18" t="e">
        <f t="shared" si="65"/>
        <v>#DIV/0!</v>
      </c>
      <c r="P58" s="18">
        <f t="shared" si="66"/>
        <v>0</v>
      </c>
      <c r="Q58" s="18" t="e">
        <f t="shared" si="67"/>
        <v>#DIV/0!</v>
      </c>
      <c r="R58" s="14"/>
    </row>
    <row r="59" spans="1:18" s="19" customFormat="1" x14ac:dyDescent="0.3">
      <c r="A59" s="13">
        <v>45404</v>
      </c>
      <c r="B59" s="14"/>
      <c r="C59" s="14"/>
      <c r="D59" s="14"/>
      <c r="E59" s="14"/>
      <c r="F59" s="14">
        <f t="shared" si="70"/>
        <v>1679</v>
      </c>
      <c r="G59" s="14"/>
      <c r="H59" s="15"/>
      <c r="I59" s="15"/>
      <c r="J59" s="16">
        <f t="shared" si="69"/>
        <v>0</v>
      </c>
      <c r="K59" s="17">
        <f t="shared" si="68"/>
        <v>0</v>
      </c>
      <c r="L59" s="17"/>
      <c r="M59" s="14"/>
      <c r="N59" s="17">
        <f t="shared" si="64"/>
        <v>0</v>
      </c>
      <c r="O59" s="18" t="e">
        <f t="shared" si="65"/>
        <v>#DIV/0!</v>
      </c>
      <c r="P59" s="18">
        <f t="shared" si="66"/>
        <v>0</v>
      </c>
      <c r="Q59" s="18" t="e">
        <f t="shared" si="67"/>
        <v>#DIV/0!</v>
      </c>
      <c r="R59" s="14"/>
    </row>
    <row r="60" spans="1:18" s="19" customFormat="1" x14ac:dyDescent="0.3">
      <c r="A60" s="13"/>
      <c r="B60" s="14"/>
      <c r="C60" s="14"/>
      <c r="D60" s="14"/>
      <c r="E60" s="14"/>
      <c r="F60" s="14">
        <f t="shared" si="70"/>
        <v>1679</v>
      </c>
      <c r="G60" s="14"/>
      <c r="H60" s="15"/>
      <c r="I60" s="15"/>
      <c r="J60" s="16">
        <f t="shared" si="69"/>
        <v>0</v>
      </c>
      <c r="K60" s="17">
        <f t="shared" si="68"/>
        <v>0</v>
      </c>
      <c r="L60" s="17"/>
      <c r="M60" s="14"/>
      <c r="N60" s="17">
        <f t="shared" si="64"/>
        <v>0</v>
      </c>
      <c r="O60" s="18" t="e">
        <f t="shared" si="65"/>
        <v>#DIV/0!</v>
      </c>
      <c r="P60" s="18">
        <f t="shared" si="66"/>
        <v>0</v>
      </c>
      <c r="Q60" s="18" t="e">
        <f t="shared" si="67"/>
        <v>#DIV/0!</v>
      </c>
      <c r="R60" s="14"/>
    </row>
    <row r="61" spans="1:18" s="19" customFormat="1" x14ac:dyDescent="0.3">
      <c r="A61" s="13">
        <v>45405</v>
      </c>
      <c r="B61" s="14"/>
      <c r="C61" s="14"/>
      <c r="D61" s="14"/>
      <c r="E61" s="14"/>
      <c r="F61" s="14">
        <f t="shared" si="70"/>
        <v>1679</v>
      </c>
      <c r="G61" s="14"/>
      <c r="H61" s="15"/>
      <c r="I61" s="15"/>
      <c r="J61" s="16">
        <f t="shared" si="69"/>
        <v>0</v>
      </c>
      <c r="K61" s="17">
        <f t="shared" si="68"/>
        <v>0</v>
      </c>
      <c r="L61" s="17"/>
      <c r="M61" s="14"/>
      <c r="N61" s="17">
        <f t="shared" si="64"/>
        <v>0</v>
      </c>
      <c r="O61" s="18" t="e">
        <f t="shared" si="65"/>
        <v>#DIV/0!</v>
      </c>
      <c r="P61" s="18">
        <f t="shared" si="66"/>
        <v>0</v>
      </c>
      <c r="Q61" s="18" t="e">
        <f t="shared" si="67"/>
        <v>#DIV/0!</v>
      </c>
      <c r="R61" s="14"/>
    </row>
    <row r="62" spans="1:18" s="19" customFormat="1" x14ac:dyDescent="0.3">
      <c r="A62" s="14"/>
      <c r="B62" s="14"/>
      <c r="C62" s="14"/>
      <c r="D62" s="14"/>
      <c r="E62" s="14"/>
      <c r="F62" s="14">
        <f t="shared" si="70"/>
        <v>1679</v>
      </c>
      <c r="G62" s="14"/>
      <c r="H62" s="15"/>
      <c r="I62" s="15"/>
      <c r="J62" s="16">
        <f t="shared" si="69"/>
        <v>0</v>
      </c>
      <c r="K62" s="17">
        <f t="shared" si="68"/>
        <v>0</v>
      </c>
      <c r="L62" s="17"/>
      <c r="M62" s="14"/>
      <c r="N62" s="17">
        <f t="shared" si="64"/>
        <v>0</v>
      </c>
      <c r="O62" s="18" t="e">
        <f t="shared" si="65"/>
        <v>#DIV/0!</v>
      </c>
      <c r="P62" s="18">
        <f t="shared" si="66"/>
        <v>0</v>
      </c>
      <c r="Q62" s="18" t="e">
        <f t="shared" si="67"/>
        <v>#DIV/0!</v>
      </c>
      <c r="R62" s="14"/>
    </row>
    <row r="63" spans="1:18" s="19" customFormat="1" x14ac:dyDescent="0.3">
      <c r="A63" s="13">
        <v>45406</v>
      </c>
      <c r="B63" s="14"/>
      <c r="C63" s="14"/>
      <c r="D63" s="14"/>
      <c r="E63" s="14"/>
      <c r="F63" s="14">
        <f t="shared" si="70"/>
        <v>1679</v>
      </c>
      <c r="G63" s="14"/>
      <c r="H63" s="15"/>
      <c r="I63" s="15"/>
      <c r="J63" s="16">
        <f t="shared" si="69"/>
        <v>0</v>
      </c>
      <c r="K63" s="17">
        <f t="shared" si="68"/>
        <v>0</v>
      </c>
      <c r="L63" s="17"/>
      <c r="M63" s="14"/>
      <c r="N63" s="17">
        <f t="shared" si="64"/>
        <v>0</v>
      </c>
      <c r="O63" s="18" t="e">
        <f t="shared" si="65"/>
        <v>#DIV/0!</v>
      </c>
      <c r="P63" s="18">
        <f t="shared" si="66"/>
        <v>0</v>
      </c>
      <c r="Q63" s="18" t="e">
        <f t="shared" si="67"/>
        <v>#DIV/0!</v>
      </c>
      <c r="R63" s="14"/>
    </row>
    <row r="64" spans="1:18" s="19" customFormat="1" x14ac:dyDescent="0.3">
      <c r="A64" s="13"/>
      <c r="B64" s="14"/>
      <c r="C64" s="14"/>
      <c r="D64" s="14"/>
      <c r="E64" s="14"/>
      <c r="F64" s="14">
        <f t="shared" si="70"/>
        <v>1679</v>
      </c>
      <c r="G64" s="14"/>
      <c r="H64" s="15"/>
      <c r="I64" s="15"/>
      <c r="J64" s="16">
        <f t="shared" si="69"/>
        <v>0</v>
      </c>
      <c r="K64" s="17">
        <f t="shared" si="68"/>
        <v>0</v>
      </c>
      <c r="L64" s="17"/>
      <c r="M64" s="14"/>
      <c r="N64" s="17">
        <f t="shared" si="64"/>
        <v>0</v>
      </c>
      <c r="O64" s="18" t="e">
        <f t="shared" si="65"/>
        <v>#DIV/0!</v>
      </c>
      <c r="P64" s="18">
        <f t="shared" si="66"/>
        <v>0</v>
      </c>
      <c r="Q64" s="18" t="e">
        <f t="shared" si="67"/>
        <v>#DIV/0!</v>
      </c>
      <c r="R64" s="14"/>
    </row>
    <row r="65" spans="1:18" s="19" customFormat="1" x14ac:dyDescent="0.3">
      <c r="A65" s="13">
        <v>45407</v>
      </c>
      <c r="B65" s="14"/>
      <c r="C65" s="14"/>
      <c r="D65" s="14"/>
      <c r="E65" s="14"/>
      <c r="F65" s="14">
        <f t="shared" si="70"/>
        <v>1679</v>
      </c>
      <c r="G65" s="14"/>
      <c r="H65" s="15"/>
      <c r="I65" s="15"/>
      <c r="J65" s="16">
        <f t="shared" si="69"/>
        <v>0</v>
      </c>
      <c r="K65" s="17">
        <f t="shared" si="68"/>
        <v>0</v>
      </c>
      <c r="L65" s="17"/>
      <c r="M65" s="14"/>
      <c r="N65" s="17">
        <f t="shared" si="64"/>
        <v>0</v>
      </c>
      <c r="O65" s="18" t="e">
        <f t="shared" si="65"/>
        <v>#DIV/0!</v>
      </c>
      <c r="P65" s="18">
        <f t="shared" si="66"/>
        <v>0</v>
      </c>
      <c r="Q65" s="18" t="e">
        <f t="shared" si="67"/>
        <v>#DIV/0!</v>
      </c>
      <c r="R65" s="14"/>
    </row>
    <row r="66" spans="1:18" s="19" customFormat="1" x14ac:dyDescent="0.3">
      <c r="A66" s="14"/>
      <c r="B66" s="14"/>
      <c r="C66" s="14"/>
      <c r="D66" s="14"/>
      <c r="E66" s="14"/>
      <c r="F66" s="14">
        <f t="shared" si="70"/>
        <v>1679</v>
      </c>
      <c r="G66" s="14"/>
      <c r="H66" s="15"/>
      <c r="I66" s="15"/>
      <c r="J66" s="16">
        <f t="shared" si="69"/>
        <v>0</v>
      </c>
      <c r="K66" s="17">
        <f t="shared" si="68"/>
        <v>0</v>
      </c>
      <c r="L66" s="17"/>
      <c r="M66" s="14"/>
      <c r="N66" s="17">
        <f t="shared" si="64"/>
        <v>0</v>
      </c>
      <c r="O66" s="18" t="e">
        <f t="shared" si="65"/>
        <v>#DIV/0!</v>
      </c>
      <c r="P66" s="18">
        <f t="shared" si="66"/>
        <v>0</v>
      </c>
      <c r="Q66" s="18" t="e">
        <f t="shared" si="67"/>
        <v>#DIV/0!</v>
      </c>
      <c r="R66" s="14"/>
    </row>
    <row r="67" spans="1:18" s="19" customFormat="1" x14ac:dyDescent="0.3">
      <c r="A67" s="13">
        <v>45408</v>
      </c>
      <c r="B67" s="14"/>
      <c r="C67" s="14"/>
      <c r="D67" s="14"/>
      <c r="E67" s="14"/>
      <c r="F67" s="14">
        <f t="shared" si="70"/>
        <v>1679</v>
      </c>
      <c r="G67" s="14"/>
      <c r="H67" s="15"/>
      <c r="I67" s="15"/>
      <c r="J67" s="16">
        <f t="shared" si="69"/>
        <v>0</v>
      </c>
      <c r="K67" s="17">
        <f t="shared" si="68"/>
        <v>0</v>
      </c>
      <c r="L67" s="17"/>
      <c r="M67" s="14"/>
      <c r="N67" s="17">
        <f t="shared" si="64"/>
        <v>0</v>
      </c>
      <c r="O67" s="18" t="e">
        <f t="shared" si="65"/>
        <v>#DIV/0!</v>
      </c>
      <c r="P67" s="18">
        <f t="shared" si="66"/>
        <v>0</v>
      </c>
      <c r="Q67" s="18" t="e">
        <f t="shared" si="67"/>
        <v>#DIV/0!</v>
      </c>
      <c r="R67" s="14"/>
    </row>
    <row r="68" spans="1:18" s="19" customFormat="1" x14ac:dyDescent="0.3">
      <c r="A68" s="13"/>
      <c r="B68" s="14"/>
      <c r="C68" s="14"/>
      <c r="D68" s="14"/>
      <c r="E68" s="14"/>
      <c r="F68" s="14">
        <f t="shared" si="70"/>
        <v>1679</v>
      </c>
      <c r="G68" s="14"/>
      <c r="H68" s="15"/>
      <c r="I68" s="15"/>
      <c r="J68" s="16">
        <f t="shared" si="69"/>
        <v>0</v>
      </c>
      <c r="K68" s="17">
        <f t="shared" si="68"/>
        <v>0</v>
      </c>
      <c r="L68" s="17"/>
      <c r="M68" s="14"/>
      <c r="N68" s="17">
        <f t="shared" si="64"/>
        <v>0</v>
      </c>
      <c r="O68" s="18" t="e">
        <f t="shared" si="65"/>
        <v>#DIV/0!</v>
      </c>
      <c r="P68" s="18">
        <f t="shared" si="66"/>
        <v>0</v>
      </c>
      <c r="Q68" s="18" t="e">
        <f t="shared" si="67"/>
        <v>#DIV/0!</v>
      </c>
      <c r="R68" s="14"/>
    </row>
    <row r="69" spans="1:18" s="19" customFormat="1" x14ac:dyDescent="0.3">
      <c r="A69" s="13">
        <v>45409</v>
      </c>
      <c r="B69" s="14"/>
      <c r="C69" s="14"/>
      <c r="D69" s="14"/>
      <c r="E69" s="14"/>
      <c r="F69" s="14">
        <f t="shared" si="70"/>
        <v>1679</v>
      </c>
      <c r="G69" s="14"/>
      <c r="H69" s="15"/>
      <c r="I69" s="15"/>
      <c r="J69" s="16">
        <f t="shared" si="69"/>
        <v>0</v>
      </c>
      <c r="K69" s="17">
        <f t="shared" si="68"/>
        <v>0</v>
      </c>
      <c r="L69" s="17"/>
      <c r="M69" s="14"/>
      <c r="N69" s="17">
        <f t="shared" si="64"/>
        <v>0</v>
      </c>
      <c r="O69" s="18" t="e">
        <f t="shared" si="65"/>
        <v>#DIV/0!</v>
      </c>
      <c r="P69" s="18">
        <f t="shared" si="66"/>
        <v>0</v>
      </c>
      <c r="Q69" s="18" t="e">
        <f t="shared" si="67"/>
        <v>#DIV/0!</v>
      </c>
      <c r="R69" s="14"/>
    </row>
    <row r="70" spans="1:18" s="19" customFormat="1" x14ac:dyDescent="0.3">
      <c r="A70" s="14"/>
      <c r="B70" s="14"/>
      <c r="C70" s="14"/>
      <c r="D70" s="14"/>
      <c r="E70" s="14"/>
      <c r="F70" s="14">
        <f t="shared" si="70"/>
        <v>1679</v>
      </c>
      <c r="G70" s="14"/>
      <c r="H70" s="15"/>
      <c r="I70" s="15"/>
      <c r="J70" s="16">
        <f t="shared" si="69"/>
        <v>0</v>
      </c>
      <c r="K70" s="17">
        <f t="shared" si="68"/>
        <v>0</v>
      </c>
      <c r="L70" s="17"/>
      <c r="M70" s="14"/>
      <c r="N70" s="17">
        <f t="shared" si="64"/>
        <v>0</v>
      </c>
      <c r="O70" s="18" t="e">
        <f t="shared" si="65"/>
        <v>#DIV/0!</v>
      </c>
      <c r="P70" s="18">
        <f t="shared" si="66"/>
        <v>0</v>
      </c>
      <c r="Q70" s="18" t="e">
        <f t="shared" si="67"/>
        <v>#DIV/0!</v>
      </c>
      <c r="R70" s="14"/>
    </row>
    <row r="71" spans="1:18" s="19" customFormat="1" x14ac:dyDescent="0.3">
      <c r="A71" s="13">
        <v>45410</v>
      </c>
      <c r="B71" s="14"/>
      <c r="C71" s="14"/>
      <c r="D71" s="14"/>
      <c r="E71" s="14"/>
      <c r="F71" s="14">
        <f t="shared" si="70"/>
        <v>1679</v>
      </c>
      <c r="G71" s="14"/>
      <c r="H71" s="15"/>
      <c r="I71" s="15"/>
      <c r="J71" s="16">
        <f t="shared" si="69"/>
        <v>0</v>
      </c>
      <c r="K71" s="17">
        <f t="shared" si="68"/>
        <v>0</v>
      </c>
      <c r="L71" s="17"/>
      <c r="M71" s="14"/>
      <c r="N71" s="17">
        <f t="shared" si="64"/>
        <v>0</v>
      </c>
      <c r="O71" s="18" t="e">
        <f t="shared" si="65"/>
        <v>#DIV/0!</v>
      </c>
      <c r="P71" s="18">
        <f t="shared" si="66"/>
        <v>0</v>
      </c>
      <c r="Q71" s="18" t="e">
        <f t="shared" si="67"/>
        <v>#DIV/0!</v>
      </c>
      <c r="R71" s="14"/>
    </row>
    <row r="72" spans="1:18" s="19" customFormat="1" x14ac:dyDescent="0.3">
      <c r="A72" s="13"/>
      <c r="B72" s="14"/>
      <c r="C72" s="14"/>
      <c r="D72" s="14"/>
      <c r="E72" s="14"/>
      <c r="F72" s="14">
        <f t="shared" si="70"/>
        <v>1679</v>
      </c>
      <c r="G72" s="14"/>
      <c r="H72" s="15"/>
      <c r="I72" s="15"/>
      <c r="J72" s="16">
        <f t="shared" si="69"/>
        <v>0</v>
      </c>
      <c r="K72" s="17">
        <f t="shared" si="68"/>
        <v>0</v>
      </c>
      <c r="L72" s="17"/>
      <c r="M72" s="14"/>
      <c r="N72" s="17">
        <f t="shared" si="64"/>
        <v>0</v>
      </c>
      <c r="O72" s="18" t="e">
        <f t="shared" si="65"/>
        <v>#DIV/0!</v>
      </c>
      <c r="P72" s="18">
        <f t="shared" si="66"/>
        <v>0</v>
      </c>
      <c r="Q72" s="18" t="e">
        <f t="shared" si="67"/>
        <v>#DIV/0!</v>
      </c>
      <c r="R72" s="14"/>
    </row>
    <row r="73" spans="1:18" s="19" customFormat="1" x14ac:dyDescent="0.3">
      <c r="A73" s="13">
        <v>45411</v>
      </c>
      <c r="B73" s="14"/>
      <c r="C73" s="14"/>
      <c r="D73" s="14"/>
      <c r="E73" s="14"/>
      <c r="F73" s="14">
        <f t="shared" si="70"/>
        <v>1679</v>
      </c>
      <c r="G73" s="14"/>
      <c r="H73" s="15"/>
      <c r="I73" s="15"/>
      <c r="J73" s="16">
        <f t="shared" si="69"/>
        <v>0</v>
      </c>
      <c r="K73" s="17">
        <f t="shared" si="68"/>
        <v>0</v>
      </c>
      <c r="L73" s="17"/>
      <c r="M73" s="14"/>
      <c r="N73" s="17">
        <f t="shared" si="64"/>
        <v>0</v>
      </c>
      <c r="O73" s="18" t="e">
        <f t="shared" si="65"/>
        <v>#DIV/0!</v>
      </c>
      <c r="P73" s="18">
        <f t="shared" si="66"/>
        <v>0</v>
      </c>
      <c r="Q73" s="18" t="e">
        <f t="shared" si="67"/>
        <v>#DIV/0!</v>
      </c>
      <c r="R73" s="14"/>
    </row>
    <row r="74" spans="1:18" s="19" customFormat="1" x14ac:dyDescent="0.3">
      <c r="A74" s="14"/>
      <c r="B74" s="14"/>
      <c r="C74" s="14"/>
      <c r="D74" s="14"/>
      <c r="E74" s="14"/>
      <c r="F74" s="14">
        <f t="shared" si="70"/>
        <v>1679</v>
      </c>
      <c r="G74" s="14"/>
      <c r="H74" s="15"/>
      <c r="I74" s="15"/>
      <c r="J74" s="16">
        <f t="shared" si="69"/>
        <v>0</v>
      </c>
      <c r="K74" s="17">
        <f t="shared" si="68"/>
        <v>0</v>
      </c>
      <c r="L74" s="17"/>
      <c r="M74" s="14"/>
      <c r="N74" s="17">
        <f t="shared" si="64"/>
        <v>0</v>
      </c>
      <c r="O74" s="18" t="e">
        <f t="shared" si="65"/>
        <v>#DIV/0!</v>
      </c>
      <c r="P74" s="18">
        <f t="shared" si="66"/>
        <v>0</v>
      </c>
      <c r="Q74" s="18" t="e">
        <f t="shared" si="67"/>
        <v>#DIV/0!</v>
      </c>
      <c r="R74" s="14"/>
    </row>
    <row r="75" spans="1:18" x14ac:dyDescent="0.3">
      <c r="A75" s="13">
        <v>45412</v>
      </c>
      <c r="B75" s="14"/>
      <c r="C75" s="14"/>
      <c r="D75" s="14"/>
      <c r="E75" s="14"/>
      <c r="F75" s="14">
        <f t="shared" si="70"/>
        <v>1679</v>
      </c>
      <c r="G75" s="14"/>
      <c r="H75" s="15"/>
      <c r="I75" s="15"/>
      <c r="J75" s="16">
        <f t="shared" si="69"/>
        <v>0</v>
      </c>
      <c r="K75" s="17">
        <f t="shared" si="68"/>
        <v>0</v>
      </c>
      <c r="L75" s="17"/>
      <c r="M75" s="14"/>
      <c r="N75" s="17">
        <f t="shared" si="64"/>
        <v>0</v>
      </c>
      <c r="O75" s="18" t="e">
        <f t="shared" si="65"/>
        <v>#DIV/0!</v>
      </c>
      <c r="P75" s="18">
        <f t="shared" si="66"/>
        <v>0</v>
      </c>
      <c r="Q75" s="18" t="e">
        <f t="shared" si="67"/>
        <v>#DIV/0!</v>
      </c>
      <c r="R75" s="14"/>
    </row>
    <row r="76" spans="1:18" x14ac:dyDescent="0.3">
      <c r="A76" s="14"/>
      <c r="B76" s="14"/>
      <c r="C76" s="14"/>
      <c r="D76" s="14"/>
      <c r="E76" s="14"/>
      <c r="F76" s="14">
        <f t="shared" si="70"/>
        <v>1679</v>
      </c>
      <c r="G76" s="14"/>
      <c r="H76" s="15"/>
      <c r="I76" s="15"/>
      <c r="J76" s="16">
        <f t="shared" si="69"/>
        <v>0</v>
      </c>
      <c r="K76" s="17">
        <f t="shared" si="68"/>
        <v>0</v>
      </c>
      <c r="L76" s="17"/>
      <c r="M76" s="14"/>
      <c r="N76" s="17">
        <f t="shared" si="64"/>
        <v>0</v>
      </c>
      <c r="O76" s="18" t="e">
        <f t="shared" si="65"/>
        <v>#DIV/0!</v>
      </c>
      <c r="P76" s="18">
        <f t="shared" si="66"/>
        <v>0</v>
      </c>
      <c r="Q76" s="18" t="e">
        <f t="shared" si="67"/>
        <v>#DIV/0!</v>
      </c>
      <c r="R76" s="14"/>
    </row>
  </sheetData>
  <conditionalFormatting sqref="Q1">
    <cfRule type="cellIs" dxfId="1" priority="2" operator="greaterThan">
      <formula>5</formula>
    </cfRule>
  </conditionalFormatting>
  <conditionalFormatting sqref="Q1:Q7 Q9:Q1048576">
    <cfRule type="cellIs" dxfId="0" priority="1" operator="greaterThan">
      <formula>20</formula>
    </cfRule>
  </conditionalFormatting>
  <dataValidations count="2">
    <dataValidation type="list" allowBlank="1" showInputMessage="1" showErrorMessage="1" sqref="G2:G3 G5:G7 G9:G76" xr:uid="{583DBAF4-98CD-4D9E-A97A-6597CC376BB4}">
      <formula1>$AB$3:$AB$4</formula1>
    </dataValidation>
    <dataValidation type="list" allowBlank="1" showInputMessage="1" showErrorMessage="1" sqref="G1" xr:uid="{68451A22-7008-47B7-93CA-147CCBA8692A}">
      <formula1>$AB$3:$AB$3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Ramabadran SK</dc:creator>
  <cp:lastModifiedBy>Ramabadran SK</cp:lastModifiedBy>
  <dcterms:created xsi:type="dcterms:W3CDTF">2026-02-21T06:05:17Z</dcterms:created>
  <dcterms:modified xsi:type="dcterms:W3CDTF">2026-02-21T06:06:50Z</dcterms:modified>
</cp:coreProperties>
</file>