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1fa26c11918ea77/Desktop/"/>
    </mc:Choice>
  </mc:AlternateContent>
  <xr:revisionPtr revIDLastSave="179" documentId="8_{7D9C7080-F53F-4408-8266-ECD768326585}" xr6:coauthVersionLast="47" xr6:coauthVersionMax="47" xr10:uidLastSave="{6BB2B0AE-658E-4553-B0AC-28625D24717C}"/>
  <bookViews>
    <workbookView xWindow="-108" yWindow="-108" windowWidth="23256" windowHeight="12456" xr2:uid="{601451DC-540A-4A5F-8477-77E0036938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0" i="1" l="1"/>
  <c r="I20" i="1"/>
  <c r="H20" i="1"/>
  <c r="F20" i="1"/>
  <c r="H19" i="1" l="1"/>
  <c r="F19" i="1"/>
  <c r="I19" i="1" s="1"/>
  <c r="K19" i="1" s="1"/>
  <c r="H18" i="1"/>
  <c r="F18" i="1"/>
  <c r="H17" i="1"/>
  <c r="F17" i="1"/>
  <c r="H15" i="1"/>
  <c r="F15" i="1"/>
  <c r="H14" i="1"/>
  <c r="F14" i="1"/>
  <c r="I14" i="1" s="1"/>
  <c r="K14" i="1" s="1"/>
  <c r="H13" i="1"/>
  <c r="F13" i="1"/>
  <c r="I13" i="1" s="1"/>
  <c r="K13" i="1" s="1"/>
  <c r="H12" i="1"/>
  <c r="F12" i="1"/>
  <c r="F11" i="1"/>
  <c r="H11" i="1"/>
  <c r="H10" i="1"/>
  <c r="F10" i="1"/>
  <c r="H9" i="1"/>
  <c r="F9" i="1"/>
  <c r="H8" i="1"/>
  <c r="F8" i="1"/>
  <c r="H7" i="1"/>
  <c r="F7" i="1"/>
  <c r="H6" i="1"/>
  <c r="F6" i="1"/>
  <c r="I6" i="1" s="1"/>
  <c r="K6" i="1" s="1"/>
  <c r="L4" i="1"/>
  <c r="L5" i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H4" i="1"/>
  <c r="H5" i="1"/>
  <c r="F5" i="1"/>
  <c r="F4" i="1"/>
  <c r="L3" i="1"/>
  <c r="H3" i="1"/>
  <c r="F3" i="1"/>
  <c r="I3" i="1" s="1"/>
  <c r="K3" i="1" s="1"/>
  <c r="H2" i="1"/>
  <c r="F2" i="1"/>
  <c r="I2" i="1" s="1"/>
  <c r="K2" i="1" s="1"/>
  <c r="I8" i="1" l="1"/>
  <c r="K8" i="1" s="1"/>
  <c r="I17" i="1"/>
  <c r="K17" i="1" s="1"/>
  <c r="I10" i="1"/>
  <c r="K10" i="1" s="1"/>
  <c r="I5" i="1"/>
  <c r="K5" i="1" s="1"/>
  <c r="I7" i="1"/>
  <c r="K7" i="1" s="1"/>
  <c r="I12" i="1"/>
  <c r="K12" i="1" s="1"/>
  <c r="I18" i="1"/>
  <c r="K18" i="1" s="1"/>
  <c r="I15" i="1"/>
  <c r="K15" i="1" s="1"/>
  <c r="I9" i="1"/>
  <c r="K9" i="1" s="1"/>
  <c r="I4" i="1"/>
  <c r="K4" i="1" s="1"/>
  <c r="I11" i="1"/>
  <c r="K11" i="1" s="1"/>
</calcChain>
</file>

<file path=xl/sharedStrings.xml><?xml version="1.0" encoding="utf-8"?>
<sst xmlns="http://schemas.openxmlformats.org/spreadsheetml/2006/main" count="63" uniqueCount="24">
  <si>
    <t>2nd</t>
  </si>
  <si>
    <t>Short</t>
  </si>
  <si>
    <t>PDN Req</t>
  </si>
  <si>
    <t>Actual PDN</t>
  </si>
  <si>
    <t>PDN HR</t>
  </si>
  <si>
    <t>Shift</t>
  </si>
  <si>
    <t>Total PDN</t>
  </si>
  <si>
    <t>Cycle time Sec</t>
  </si>
  <si>
    <t>Name</t>
  </si>
  <si>
    <t>Prg. No.</t>
  </si>
  <si>
    <t>Date</t>
  </si>
  <si>
    <t>100156-02</t>
  </si>
  <si>
    <t>Vijay</t>
  </si>
  <si>
    <t>Producted Qty</t>
  </si>
  <si>
    <t>Machine</t>
  </si>
  <si>
    <t>1st</t>
  </si>
  <si>
    <t>TM - 01</t>
  </si>
  <si>
    <t>TM - 02</t>
  </si>
  <si>
    <t>TM - 04</t>
  </si>
  <si>
    <t>M - 03</t>
  </si>
  <si>
    <t>TM - 03</t>
  </si>
  <si>
    <t>1 hr powercut</t>
  </si>
  <si>
    <t>vIjay</t>
  </si>
  <si>
    <t>Anil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</si>
</sst>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0" fillId="0" borderId="2" xfId="0" applyFill="1" applyBorder="1" applyAlignment="1">
      <alignment horizontal="center" vertical="center"/>
    </xf>
    <xf numFmtId="2" fontId="0" fillId="0" borderId="2" xfId="0" applyNumberFormat="1" applyFill="1" applyBorder="1" applyAlignment="1">
      <alignment horizontal="center" vertical="center"/>
    </xf>
    <xf numFmtId="1" fontId="0" fillId="0" borderId="2" xfId="0" applyNumberFormat="1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A4D01-4855-41C2-A36E-FD9D87F9E8B9}">
  <dimension ref="A1:N20"/>
  <sheetViews>
    <sheetView tabSelected="1" workbookViewId="0">
      <selection activeCell="B18" sqref="B18"/>
    </sheetView>
  </sheetViews>
  <sheetFormatPr defaultRowHeight="14.4" x14ac:dyDescent="0.3"/>
  <cols>
    <col min="1" max="1" width="10.33203125" bestFit="1" customWidth="1"/>
    <col min="2" max="2" width="6" bestFit="1" customWidth="1"/>
    <col min="3" max="3" width="4.88671875" bestFit="1" customWidth="1"/>
    <col min="4" max="4" width="8.33203125" bestFit="1" customWidth="1"/>
    <col min="5" max="5" width="9.6640625" bestFit="1" customWidth="1"/>
    <col min="6" max="6" width="13.109375" bestFit="1" customWidth="1"/>
    <col min="7" max="7" width="7.44140625" bestFit="1" customWidth="1"/>
    <col min="8" max="8" width="10.44140625" bestFit="1" customWidth="1"/>
    <col min="9" max="9" width="8.33203125" bestFit="1" customWidth="1"/>
    <col min="10" max="10" width="13.33203125" bestFit="1" customWidth="1"/>
    <col min="11" max="11" width="5.5546875" bestFit="1" customWidth="1"/>
    <col min="12" max="12" width="9.33203125" bestFit="1" customWidth="1"/>
    <col min="14" max="14" width="12.33203125" bestFit="1" customWidth="1"/>
  </cols>
  <sheetData>
    <row r="1" spans="1:14" x14ac:dyDescent="0.3">
      <c r="A1" s="1" t="s">
        <v>10</v>
      </c>
      <c r="B1" s="1" t="s">
        <v>8</v>
      </c>
      <c r="C1" s="1" t="s">
        <v>5</v>
      </c>
      <c r="D1" s="1" t="s">
        <v>14</v>
      </c>
      <c r="E1" s="2" t="s">
        <v>9</v>
      </c>
      <c r="F1" s="1" t="s">
        <v>7</v>
      </c>
      <c r="G1" s="1" t="s">
        <v>4</v>
      </c>
      <c r="H1" s="3" t="s">
        <v>3</v>
      </c>
      <c r="I1" s="4" t="s">
        <v>2</v>
      </c>
      <c r="J1" s="1" t="s">
        <v>13</v>
      </c>
      <c r="K1" s="1" t="s">
        <v>1</v>
      </c>
      <c r="L1" s="1" t="s">
        <v>6</v>
      </c>
    </row>
    <row r="2" spans="1:14" x14ac:dyDescent="0.3">
      <c r="A2" s="5">
        <v>45383</v>
      </c>
      <c r="B2" s="6" t="s">
        <v>12</v>
      </c>
      <c r="C2" s="6" t="s">
        <v>0</v>
      </c>
      <c r="D2" s="6" t="s">
        <v>16</v>
      </c>
      <c r="E2" s="6" t="s">
        <v>11</v>
      </c>
      <c r="F2" s="6">
        <f>2*60+30+10</f>
        <v>160</v>
      </c>
      <c r="G2" s="7">
        <v>12</v>
      </c>
      <c r="H2" s="7">
        <f>G2*0.917</f>
        <v>11.004000000000001</v>
      </c>
      <c r="I2" s="8">
        <f>3600/F2*H2</f>
        <v>247.59000000000003</v>
      </c>
      <c r="J2" s="6">
        <v>240</v>
      </c>
      <c r="K2" s="8">
        <f>I2-J2</f>
        <v>7.5900000000000318</v>
      </c>
      <c r="L2" s="6">
        <v>240</v>
      </c>
    </row>
    <row r="3" spans="1:14" x14ac:dyDescent="0.3">
      <c r="A3" s="5"/>
      <c r="B3" s="6" t="s">
        <v>12</v>
      </c>
      <c r="C3" s="5" t="s">
        <v>0</v>
      </c>
      <c r="D3" s="6" t="s">
        <v>18</v>
      </c>
      <c r="E3" s="6">
        <v>500166</v>
      </c>
      <c r="F3" s="6">
        <f>5*60+11+10</f>
        <v>321</v>
      </c>
      <c r="G3" s="7">
        <v>12</v>
      </c>
      <c r="H3" s="7">
        <f>G3*0.917</f>
        <v>11.004000000000001</v>
      </c>
      <c r="I3" s="8">
        <f>3600/F3*H3</f>
        <v>123.40934579439254</v>
      </c>
      <c r="J3" s="6">
        <v>120</v>
      </c>
      <c r="K3" s="8">
        <f>I3-J3</f>
        <v>3.4093457943925358</v>
      </c>
      <c r="L3" s="6">
        <f>L2+J3</f>
        <v>360</v>
      </c>
    </row>
    <row r="4" spans="1:14" x14ac:dyDescent="0.3">
      <c r="A4" s="5">
        <v>45384</v>
      </c>
      <c r="B4" s="6" t="s">
        <v>12</v>
      </c>
      <c r="C4" s="5" t="s">
        <v>0</v>
      </c>
      <c r="D4" s="6" t="s">
        <v>16</v>
      </c>
      <c r="E4" s="6" t="s">
        <v>11</v>
      </c>
      <c r="F4" s="6">
        <f>2*60+30+10</f>
        <v>160</v>
      </c>
      <c r="G4" s="7">
        <v>12</v>
      </c>
      <c r="H4" s="7">
        <f t="shared" ref="H4:H20" si="0">G4*0.917</f>
        <v>11.004000000000001</v>
      </c>
      <c r="I4" s="8">
        <f t="shared" ref="I4:I20" si="1">3600/F4*H4</f>
        <v>247.59000000000003</v>
      </c>
      <c r="J4" s="6">
        <v>240</v>
      </c>
      <c r="K4" s="8">
        <f t="shared" ref="K4:K20" si="2">I4-J4</f>
        <v>7.5900000000000318</v>
      </c>
      <c r="L4" s="6">
        <f t="shared" ref="L4:L15" si="3">L3+J4</f>
        <v>600</v>
      </c>
    </row>
    <row r="5" spans="1:14" x14ac:dyDescent="0.3">
      <c r="A5" s="6"/>
      <c r="B5" s="6" t="s">
        <v>12</v>
      </c>
      <c r="C5" s="5" t="s">
        <v>0</v>
      </c>
      <c r="D5" s="6" t="s">
        <v>18</v>
      </c>
      <c r="E5" s="6">
        <v>500166</v>
      </c>
      <c r="F5" s="6">
        <f>5*60+11+10</f>
        <v>321</v>
      </c>
      <c r="G5" s="7">
        <v>12</v>
      </c>
      <c r="H5" s="7">
        <f t="shared" si="0"/>
        <v>11.004000000000001</v>
      </c>
      <c r="I5" s="8">
        <f t="shared" si="1"/>
        <v>123.40934579439254</v>
      </c>
      <c r="J5" s="6">
        <v>121</v>
      </c>
      <c r="K5" s="8">
        <f t="shared" si="2"/>
        <v>2.4093457943925358</v>
      </c>
      <c r="L5" s="6">
        <f t="shared" si="3"/>
        <v>721</v>
      </c>
    </row>
    <row r="6" spans="1:14" x14ac:dyDescent="0.3">
      <c r="A6" s="5">
        <v>45385</v>
      </c>
      <c r="B6" s="6" t="s">
        <v>12</v>
      </c>
      <c r="C6" s="5" t="s">
        <v>15</v>
      </c>
      <c r="D6" s="6" t="s">
        <v>16</v>
      </c>
      <c r="E6" s="6">
        <v>500167</v>
      </c>
      <c r="F6" s="6">
        <f>5*60+55+10</f>
        <v>365</v>
      </c>
      <c r="G6" s="7">
        <v>10</v>
      </c>
      <c r="H6" s="7">
        <f t="shared" si="0"/>
        <v>9.17</v>
      </c>
      <c r="I6" s="8">
        <f t="shared" si="1"/>
        <v>90.443835616438363</v>
      </c>
      <c r="J6" s="6">
        <v>78</v>
      </c>
      <c r="K6" s="8">
        <f t="shared" si="2"/>
        <v>12.443835616438363</v>
      </c>
      <c r="L6" s="6">
        <f t="shared" si="3"/>
        <v>799</v>
      </c>
    </row>
    <row r="7" spans="1:14" x14ac:dyDescent="0.3">
      <c r="A7" s="6"/>
      <c r="B7" s="6" t="s">
        <v>12</v>
      </c>
      <c r="C7" s="5" t="s">
        <v>15</v>
      </c>
      <c r="D7" s="6" t="s">
        <v>18</v>
      </c>
      <c r="E7" s="6">
        <v>500166</v>
      </c>
      <c r="F7" s="6">
        <f>5*60+25+10</f>
        <v>335</v>
      </c>
      <c r="G7" s="7">
        <v>10</v>
      </c>
      <c r="H7" s="7">
        <f t="shared" si="0"/>
        <v>9.17</v>
      </c>
      <c r="I7" s="8">
        <f t="shared" si="1"/>
        <v>98.543283582089558</v>
      </c>
      <c r="J7" s="6">
        <v>96</v>
      </c>
      <c r="K7" s="8">
        <f t="shared" si="2"/>
        <v>2.5432835820895576</v>
      </c>
      <c r="L7" s="6">
        <f t="shared" si="3"/>
        <v>895</v>
      </c>
    </row>
    <row r="8" spans="1:14" x14ac:dyDescent="0.3">
      <c r="A8" s="6"/>
      <c r="B8" s="6" t="s">
        <v>12</v>
      </c>
      <c r="C8" s="5" t="s">
        <v>15</v>
      </c>
      <c r="D8" s="6" t="s">
        <v>19</v>
      </c>
      <c r="E8" s="6">
        <v>100156</v>
      </c>
      <c r="F8" s="6">
        <f>2*60+20+10</f>
        <v>150</v>
      </c>
      <c r="G8" s="7">
        <v>10</v>
      </c>
      <c r="H8" s="7">
        <f t="shared" si="0"/>
        <v>9.17</v>
      </c>
      <c r="I8" s="8">
        <f t="shared" si="1"/>
        <v>220.07999999999998</v>
      </c>
      <c r="J8" s="6">
        <v>208</v>
      </c>
      <c r="K8" s="8">
        <f t="shared" si="2"/>
        <v>12.079999999999984</v>
      </c>
      <c r="L8" s="6">
        <f t="shared" si="3"/>
        <v>1103</v>
      </c>
    </row>
    <row r="9" spans="1:14" x14ac:dyDescent="0.3">
      <c r="A9" s="5">
        <v>45386</v>
      </c>
      <c r="B9" s="6" t="s">
        <v>12</v>
      </c>
      <c r="C9" s="5" t="s">
        <v>0</v>
      </c>
      <c r="D9" s="6" t="s">
        <v>16</v>
      </c>
      <c r="E9" s="6">
        <v>100156</v>
      </c>
      <c r="F9" s="6">
        <f>2*60+30+10</f>
        <v>160</v>
      </c>
      <c r="G9" s="7">
        <v>9</v>
      </c>
      <c r="H9" s="7">
        <f t="shared" si="0"/>
        <v>8.2530000000000001</v>
      </c>
      <c r="I9" s="8">
        <f t="shared" si="1"/>
        <v>185.6925</v>
      </c>
      <c r="J9" s="6">
        <v>180</v>
      </c>
      <c r="K9" s="8">
        <f t="shared" si="2"/>
        <v>5.6924999999999955</v>
      </c>
      <c r="L9" s="6">
        <f t="shared" si="3"/>
        <v>1283</v>
      </c>
    </row>
    <row r="10" spans="1:14" x14ac:dyDescent="0.3">
      <c r="A10" s="9"/>
      <c r="B10" s="6" t="s">
        <v>12</v>
      </c>
      <c r="C10" s="5" t="s">
        <v>0</v>
      </c>
      <c r="D10" s="6" t="s">
        <v>18</v>
      </c>
      <c r="E10" s="6">
        <v>500166</v>
      </c>
      <c r="F10" s="6">
        <f>5*60+25+10</f>
        <v>335</v>
      </c>
      <c r="G10" s="7">
        <v>9</v>
      </c>
      <c r="H10" s="7">
        <f t="shared" si="0"/>
        <v>8.2530000000000001</v>
      </c>
      <c r="I10" s="8">
        <f t="shared" si="1"/>
        <v>88.688955223880612</v>
      </c>
      <c r="J10" s="6">
        <v>85</v>
      </c>
      <c r="K10" s="8">
        <f t="shared" si="2"/>
        <v>3.6889552238806118</v>
      </c>
      <c r="L10" s="6">
        <f t="shared" si="3"/>
        <v>1368</v>
      </c>
    </row>
    <row r="11" spans="1:14" x14ac:dyDescent="0.3">
      <c r="A11" s="9"/>
      <c r="B11" s="6" t="s">
        <v>12</v>
      </c>
      <c r="C11" s="5" t="s">
        <v>0</v>
      </c>
      <c r="D11" s="6" t="s">
        <v>17</v>
      </c>
      <c r="E11" s="6">
        <v>100156</v>
      </c>
      <c r="F11" s="6">
        <f>2*60+32+10</f>
        <v>162</v>
      </c>
      <c r="G11" s="7">
        <v>7</v>
      </c>
      <c r="H11" s="7">
        <f t="shared" si="0"/>
        <v>6.4190000000000005</v>
      </c>
      <c r="I11" s="8">
        <f t="shared" si="1"/>
        <v>142.64444444444445</v>
      </c>
      <c r="J11" s="6">
        <v>140</v>
      </c>
      <c r="K11" s="8">
        <f t="shared" si="2"/>
        <v>2.6444444444444457</v>
      </c>
      <c r="L11" s="6">
        <f t="shared" si="3"/>
        <v>1508</v>
      </c>
    </row>
    <row r="12" spans="1:14" x14ac:dyDescent="0.3">
      <c r="A12" s="9"/>
      <c r="B12" s="6" t="s">
        <v>12</v>
      </c>
      <c r="C12" s="5" t="s">
        <v>0</v>
      </c>
      <c r="D12" s="6" t="s">
        <v>20</v>
      </c>
      <c r="E12" s="6">
        <v>100156</v>
      </c>
      <c r="F12" s="6">
        <f>2*60+16+10</f>
        <v>146</v>
      </c>
      <c r="G12" s="7">
        <v>7</v>
      </c>
      <c r="H12" s="7">
        <f t="shared" si="0"/>
        <v>6.4190000000000005</v>
      </c>
      <c r="I12" s="8">
        <f t="shared" si="1"/>
        <v>158.27671232876713</v>
      </c>
      <c r="J12" s="6">
        <v>140</v>
      </c>
      <c r="K12" s="8">
        <f t="shared" si="2"/>
        <v>18.276712328767132</v>
      </c>
      <c r="L12" s="6">
        <f t="shared" si="3"/>
        <v>1648</v>
      </c>
    </row>
    <row r="13" spans="1:14" x14ac:dyDescent="0.3">
      <c r="A13" s="5">
        <v>45387</v>
      </c>
      <c r="B13" s="6" t="s">
        <v>12</v>
      </c>
      <c r="C13" s="5" t="s">
        <v>15</v>
      </c>
      <c r="D13" s="6" t="s">
        <v>16</v>
      </c>
      <c r="E13" s="6">
        <v>116791</v>
      </c>
      <c r="F13" s="6">
        <f>7*60+15+10</f>
        <v>445</v>
      </c>
      <c r="G13" s="7">
        <v>10</v>
      </c>
      <c r="H13" s="7">
        <f t="shared" si="0"/>
        <v>9.17</v>
      </c>
      <c r="I13" s="8">
        <f t="shared" si="1"/>
        <v>74.184269662921352</v>
      </c>
      <c r="J13" s="6">
        <v>62</v>
      </c>
      <c r="K13" s="8">
        <f t="shared" si="2"/>
        <v>12.184269662921352</v>
      </c>
      <c r="L13" s="6">
        <f t="shared" si="3"/>
        <v>1710</v>
      </c>
      <c r="N13" t="s">
        <v>21</v>
      </c>
    </row>
    <row r="14" spans="1:14" x14ac:dyDescent="0.3">
      <c r="A14" s="9"/>
      <c r="B14" s="6" t="s">
        <v>12</v>
      </c>
      <c r="C14" s="5" t="s">
        <v>15</v>
      </c>
      <c r="D14" s="6" t="s">
        <v>18</v>
      </c>
      <c r="E14" s="6">
        <v>500166</v>
      </c>
      <c r="F14" s="6">
        <f>5*60+25+10</f>
        <v>335</v>
      </c>
      <c r="G14" s="7">
        <v>10</v>
      </c>
      <c r="H14" s="7">
        <f t="shared" si="0"/>
        <v>9.17</v>
      </c>
      <c r="I14" s="8">
        <f t="shared" si="1"/>
        <v>98.543283582089558</v>
      </c>
      <c r="J14" s="6">
        <v>82</v>
      </c>
      <c r="K14" s="8">
        <f t="shared" si="2"/>
        <v>16.543283582089558</v>
      </c>
      <c r="L14" s="6">
        <f t="shared" si="3"/>
        <v>1792</v>
      </c>
      <c r="N14" t="s">
        <v>21</v>
      </c>
    </row>
    <row r="15" spans="1:14" x14ac:dyDescent="0.3">
      <c r="A15" s="9"/>
      <c r="B15" s="6" t="s">
        <v>12</v>
      </c>
      <c r="C15" s="5" t="s">
        <v>15</v>
      </c>
      <c r="D15" s="6" t="s">
        <v>20</v>
      </c>
      <c r="E15" s="6">
        <v>100156</v>
      </c>
      <c r="F15" s="6">
        <f>2*60+15+10</f>
        <v>145</v>
      </c>
      <c r="G15" s="7">
        <v>10</v>
      </c>
      <c r="H15" s="7">
        <f t="shared" si="0"/>
        <v>9.17</v>
      </c>
      <c r="I15" s="8">
        <f t="shared" si="1"/>
        <v>227.66896551724139</v>
      </c>
      <c r="J15" s="6">
        <v>205</v>
      </c>
      <c r="K15" s="8">
        <f t="shared" si="2"/>
        <v>22.668965517241389</v>
      </c>
      <c r="L15" s="6">
        <f t="shared" si="3"/>
        <v>1997</v>
      </c>
      <c r="N15" t="s">
        <v>21</v>
      </c>
    </row>
    <row r="16" spans="1:14" x14ac:dyDescent="0.3">
      <c r="A16" s="13"/>
      <c r="B16" s="14"/>
      <c r="C16" s="15"/>
      <c r="D16" s="14"/>
      <c r="E16" s="16"/>
      <c r="F16" s="6"/>
      <c r="G16" s="17"/>
      <c r="H16" s="17"/>
      <c r="I16" s="18"/>
      <c r="J16" s="16"/>
      <c r="K16" s="18"/>
      <c r="L16" s="14"/>
    </row>
    <row r="17" spans="2:11" x14ac:dyDescent="0.3">
      <c r="B17" s="19" t="s">
        <v>23</v>
      </c>
      <c r="E17" s="10">
        <v>110560</v>
      </c>
      <c r="F17" s="6">
        <f>2*60+40+10</f>
        <v>170</v>
      </c>
      <c r="G17" s="11">
        <v>11.5</v>
      </c>
      <c r="H17" s="11">
        <f t="shared" si="0"/>
        <v>10.545500000000001</v>
      </c>
      <c r="I17" s="12">
        <f t="shared" si="1"/>
        <v>223.31647058823529</v>
      </c>
      <c r="J17" s="10">
        <v>203</v>
      </c>
      <c r="K17" s="12">
        <f t="shared" si="2"/>
        <v>20.316470588235291</v>
      </c>
    </row>
    <row r="18" spans="2:11" x14ac:dyDescent="0.3">
      <c r="B18" s="19" t="s">
        <v>22</v>
      </c>
      <c r="F18">
        <f>1*60+40+10</f>
        <v>110</v>
      </c>
      <c r="G18" s="11">
        <v>12</v>
      </c>
      <c r="H18" s="11">
        <f t="shared" si="0"/>
        <v>11.004000000000001</v>
      </c>
      <c r="I18" s="12">
        <f t="shared" si="1"/>
        <v>360.13090909090914</v>
      </c>
      <c r="J18" s="10">
        <v>335</v>
      </c>
      <c r="K18" s="12">
        <f t="shared" si="2"/>
        <v>25.130909090909142</v>
      </c>
    </row>
    <row r="19" spans="2:11" x14ac:dyDescent="0.3">
      <c r="B19" t="s">
        <v>23</v>
      </c>
      <c r="F19" s="6">
        <f>2*60+40+10</f>
        <v>170</v>
      </c>
      <c r="G19" s="11">
        <v>12</v>
      </c>
      <c r="H19" s="11">
        <f t="shared" si="0"/>
        <v>11.004000000000001</v>
      </c>
      <c r="I19" s="12">
        <f t="shared" si="1"/>
        <v>233.02588235294121</v>
      </c>
      <c r="J19" s="10">
        <v>220</v>
      </c>
      <c r="K19" s="12">
        <f t="shared" si="2"/>
        <v>13.02588235294121</v>
      </c>
    </row>
    <row r="20" spans="2:11" x14ac:dyDescent="0.3">
      <c r="B20" t="s">
        <v>22</v>
      </c>
      <c r="F20" s="6">
        <f>2*60+40+10</f>
        <v>170</v>
      </c>
      <c r="G20" s="11">
        <v>12</v>
      </c>
      <c r="H20" s="11">
        <f t="shared" si="0"/>
        <v>11.004000000000001</v>
      </c>
      <c r="I20" s="12">
        <f t="shared" si="1"/>
        <v>233.02588235294121</v>
      </c>
      <c r="J20" s="10">
        <v>200</v>
      </c>
      <c r="K20" s="12">
        <f t="shared" si="2"/>
        <v>33.02588235294121</v>
      </c>
    </row>
  </sheetData>
  <conditionalFormatting sqref="K1">
    <cfRule type="cellIs" dxfId="1" priority="2" operator="greaterThan">
      <formula>5</formula>
    </cfRule>
  </conditionalFormatting>
  <conditionalFormatting sqref="K1:K20">
    <cfRule type="cellIs" dxfId="0" priority="1" operator="greaterThan">
      <formula>20</formula>
    </cfRule>
  </conditionalFormatting>
  <pageMargins left="0.7" right="0.7" top="0.75" bottom="0.75" header="0.3" footer="0.3"/>
  <ignoredErrors>
    <ignoredError sqref="F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Ramabadran SK</dc:creator>
  <cp:lastModifiedBy>Ramabadran SK</cp:lastModifiedBy>
  <dcterms:created xsi:type="dcterms:W3CDTF">2026-02-10T04:55:56Z</dcterms:created>
  <dcterms:modified xsi:type="dcterms:W3CDTF">2026-02-17T05:42:38Z</dcterms:modified>
</cp:coreProperties>
</file>